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di_build\"/>
    </mc:Choice>
  </mc:AlternateContent>
  <xr:revisionPtr revIDLastSave="0" documentId="13_ncr:1_{F15D47FC-30BF-4324-A65A-0CE089442F2A}" xr6:coauthVersionLast="47" xr6:coauthVersionMax="47" xr10:uidLastSave="{00000000-0000-0000-0000-000000000000}"/>
  <bookViews>
    <workbookView xWindow="-110" yWindow="-110" windowWidth="19420" windowHeight="10300" xr2:uid="{1467D5B6-288F-4408-A6F2-E84791995DF5}"/>
  </bookViews>
  <sheets>
    <sheet name="README" sheetId="1" r:id="rId1"/>
    <sheet name="Config" sheetId="2" r:id="rId2"/>
    <sheet name="Lookups" sheetId="3" r:id="rId3"/>
    <sheet name="Projects" sheetId="4" r:id="rId4"/>
    <sheet name="People" sheetId="5" r:id="rId5"/>
    <sheet name="Allocations" sheetId="6" r:id="rId6"/>
    <sheet name="Deliverables" sheetId="7" r:id="rId7"/>
    <sheet name="Risks" sheetId="8" r:id="rId8"/>
    <sheet name="Issues" sheetId="9" r:id="rId9"/>
    <sheet name="Actions" sheetId="10" r:id="rId10"/>
    <sheet name="ChangeRequests" sheetId="11" r:id="rId11"/>
    <sheet name="Milestones" sheetId="12" r:id="rId12"/>
    <sheet name="Schedule_Activities" sheetId="13" r:id="rId13"/>
    <sheet name="SCurve_Monthly" sheetId="14" r:id="rId14"/>
  </sheets>
  <definedNames>
    <definedName name="lu_Assets">Lookups!$C$2:$C$12</definedName>
    <definedName name="lu_DeliveryModels">Lookups!$D$2:$D$5</definedName>
    <definedName name="lu_Departments">Lookups!$A$2:$A$5</definedName>
    <definedName name="lu_Disciplines">Lookups!$B$2:$B$9</definedName>
    <definedName name="lu_HealthStatus">Lookups!$F$2:$F$4</definedName>
    <definedName name="lu_ProjectType">Lookups!$J$2:$J$3</definedName>
    <definedName name="lu_RegisterStatus">Lookups!$G$2:$G$3</definedName>
    <definedName name="lu_RiskCategory">Lookups!$I$2:$I$7</definedName>
    <definedName name="lu_StageGates">Lookups!$E$2:$E$7</definedName>
    <definedName name="lu_WorkflowStatus">Lookups!$H$2:$H$6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H2" i="5" s="1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T2" i="4"/>
  <c r="T3" i="4"/>
  <c r="Y3" i="4" s="1"/>
  <c r="T4" i="4"/>
  <c r="T5" i="4"/>
  <c r="T6" i="4"/>
  <c r="T7" i="4"/>
  <c r="T8" i="4"/>
  <c r="Y8" i="4" s="1"/>
  <c r="T9" i="4"/>
  <c r="T10" i="4"/>
  <c r="T11" i="4"/>
  <c r="T12" i="4"/>
  <c r="T13" i="4"/>
  <c r="T14" i="4"/>
  <c r="T15" i="4"/>
  <c r="T16" i="4"/>
  <c r="Y16" i="4" s="1"/>
  <c r="T17" i="4"/>
  <c r="T18" i="4"/>
  <c r="T19" i="4"/>
  <c r="T20" i="4"/>
  <c r="T21" i="4"/>
  <c r="T22" i="4"/>
  <c r="T23" i="4"/>
  <c r="T24" i="4"/>
  <c r="Y24" i="4" s="1"/>
  <c r="T25" i="4"/>
  <c r="T26" i="4"/>
  <c r="T27" i="4"/>
  <c r="T28" i="4"/>
  <c r="T29" i="4"/>
  <c r="T30" i="4"/>
  <c r="T31" i="4"/>
  <c r="T32" i="4"/>
  <c r="Y32" i="4" s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" i="8"/>
  <c r="H2" i="8" s="1"/>
  <c r="G3" i="8"/>
  <c r="H3" i="8" s="1"/>
  <c r="G4" i="8"/>
  <c r="H4" i="8" s="1"/>
  <c r="G5" i="8"/>
  <c r="H5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4" i="8"/>
  <c r="H24" i="8" s="1"/>
  <c r="G25" i="8"/>
  <c r="H25" i="8" s="1"/>
  <c r="G26" i="8"/>
  <c r="H26" i="8" s="1"/>
  <c r="G27" i="8"/>
  <c r="H27" i="8" s="1"/>
  <c r="G28" i="8"/>
  <c r="H28" i="8" s="1"/>
  <c r="G29" i="8"/>
  <c r="H29" i="8" s="1"/>
  <c r="G30" i="8"/>
  <c r="H30" i="8" s="1"/>
  <c r="G31" i="8"/>
  <c r="H31" i="8" s="1"/>
  <c r="G32" i="8"/>
  <c r="H32" i="8" s="1"/>
  <c r="G33" i="8"/>
  <c r="H33" i="8" s="1"/>
  <c r="G34" i="8"/>
  <c r="H34" i="8" s="1"/>
  <c r="G35" i="8"/>
  <c r="H35" i="8" s="1"/>
  <c r="J2" i="7"/>
  <c r="K2" i="7" s="1"/>
  <c r="J3" i="7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K180" i="7" s="1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217" i="7"/>
  <c r="K217" i="7" s="1"/>
  <c r="J218" i="7"/>
  <c r="K218" i="7" s="1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K229" i="7" s="1"/>
  <c r="J230" i="7"/>
  <c r="K230" i="7" s="1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K240" i="7" s="1"/>
  <c r="J241" i="7"/>
  <c r="K241" i="7" s="1"/>
  <c r="J242" i="7"/>
  <c r="K242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K252" i="7" s="1"/>
  <c r="J253" i="7"/>
  <c r="K253" i="7" s="1"/>
  <c r="J254" i="7"/>
  <c r="K254" i="7" s="1"/>
  <c r="J255" i="7"/>
  <c r="K255" i="7" s="1"/>
  <c r="J256" i="7"/>
  <c r="K256" i="7" s="1"/>
  <c r="J257" i="7"/>
  <c r="K257" i="7" s="1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K264" i="7" s="1"/>
  <c r="J265" i="7"/>
  <c r="K265" i="7" s="1"/>
  <c r="J266" i="7"/>
  <c r="K266" i="7" s="1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K276" i="7" s="1"/>
  <c r="J277" i="7"/>
  <c r="K277" i="7" s="1"/>
  <c r="J278" i="7"/>
  <c r="K278" i="7" s="1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K285" i="7" s="1"/>
  <c r="J286" i="7"/>
  <c r="K286" i="7" s="1"/>
  <c r="J287" i="7"/>
  <c r="K287" i="7" s="1"/>
  <c r="J288" i="7"/>
  <c r="K288" i="7" s="1"/>
  <c r="J289" i="7"/>
  <c r="K289" i="7" s="1"/>
  <c r="J290" i="7"/>
  <c r="K290" i="7" s="1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298" i="7"/>
  <c r="K298" i="7" s="1"/>
  <c r="J299" i="7"/>
  <c r="K299" i="7" s="1"/>
  <c r="J300" i="7"/>
  <c r="K300" i="7" s="1"/>
  <c r="J301" i="7"/>
  <c r="K301" i="7" s="1"/>
  <c r="J302" i="7"/>
  <c r="K302" i="7" s="1"/>
  <c r="J303" i="7"/>
  <c r="K303" i="7" s="1"/>
  <c r="J304" i="7"/>
  <c r="K304" i="7" s="1"/>
  <c r="J305" i="7"/>
  <c r="K305" i="7" s="1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K311" i="7" s="1"/>
  <c r="J312" i="7"/>
  <c r="K312" i="7" s="1"/>
  <c r="J313" i="7"/>
  <c r="K313" i="7" s="1"/>
  <c r="J314" i="7"/>
  <c r="K314" i="7" s="1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K323" i="7" s="1"/>
  <c r="J324" i="7"/>
  <c r="K324" i="7" s="1"/>
  <c r="J325" i="7"/>
  <c r="K325" i="7" s="1"/>
  <c r="J326" i="7"/>
  <c r="K326" i="7" s="1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K336" i="7" s="1"/>
  <c r="J337" i="7"/>
  <c r="K337" i="7" s="1"/>
  <c r="J338" i="7"/>
  <c r="K338" i="7" s="1"/>
  <c r="J339" i="7"/>
  <c r="K339" i="7" s="1"/>
  <c r="J340" i="7"/>
  <c r="K340" i="7" s="1"/>
  <c r="J341" i="7"/>
  <c r="K341" i="7" s="1"/>
  <c r="J342" i="7"/>
  <c r="K342" i="7" s="1"/>
  <c r="J343" i="7"/>
  <c r="K343" i="7" s="1"/>
  <c r="J344" i="7"/>
  <c r="K344" i="7" s="1"/>
  <c r="J345" i="7"/>
  <c r="K345" i="7" s="1"/>
  <c r="J346" i="7"/>
  <c r="K346" i="7" s="1"/>
  <c r="J347" i="7"/>
  <c r="K347" i="7" s="1"/>
  <c r="J348" i="7"/>
  <c r="K348" i="7" s="1"/>
  <c r="J349" i="7"/>
  <c r="K349" i="7" s="1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K359" i="7" s="1"/>
  <c r="J360" i="7"/>
  <c r="K360" i="7" s="1"/>
  <c r="J361" i="7"/>
  <c r="K361" i="7" s="1"/>
  <c r="J362" i="7"/>
  <c r="K362" i="7" s="1"/>
  <c r="J363" i="7"/>
  <c r="K363" i="7" s="1"/>
  <c r="J364" i="7"/>
  <c r="K364" i="7" s="1"/>
  <c r="J365" i="7"/>
  <c r="K365" i="7" s="1"/>
  <c r="J366" i="7"/>
  <c r="K366" i="7" s="1"/>
  <c r="J367" i="7"/>
  <c r="K367" i="7" s="1"/>
  <c r="J368" i="7"/>
  <c r="K368" i="7" s="1"/>
  <c r="J369" i="7"/>
  <c r="K369" i="7" s="1"/>
  <c r="J370" i="7"/>
  <c r="K370" i="7" s="1"/>
  <c r="J371" i="7"/>
  <c r="K371" i="7" s="1"/>
  <c r="J372" i="7"/>
  <c r="K372" i="7" s="1"/>
  <c r="J373" i="7"/>
  <c r="K373" i="7" s="1"/>
  <c r="J374" i="7"/>
  <c r="K374" i="7" s="1"/>
  <c r="J375" i="7"/>
  <c r="K375" i="7" s="1"/>
  <c r="J376" i="7"/>
  <c r="K376" i="7" s="1"/>
  <c r="J377" i="7"/>
  <c r="K377" i="7" s="1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K384" i="7" s="1"/>
  <c r="J385" i="7"/>
  <c r="K385" i="7" s="1"/>
  <c r="J386" i="7"/>
  <c r="K386" i="7" s="1"/>
  <c r="J387" i="7"/>
  <c r="K387" i="7" s="1"/>
  <c r="J388" i="7"/>
  <c r="K388" i="7" s="1"/>
  <c r="J389" i="7"/>
  <c r="K389" i="7" s="1"/>
  <c r="J390" i="7"/>
  <c r="K390" i="7" s="1"/>
  <c r="J391" i="7"/>
  <c r="K391" i="7" s="1"/>
  <c r="J392" i="7"/>
  <c r="K392" i="7" s="1"/>
  <c r="J393" i="7"/>
  <c r="K393" i="7" s="1"/>
  <c r="J394" i="7"/>
  <c r="K394" i="7" s="1"/>
  <c r="J395" i="7"/>
  <c r="K395" i="7" s="1"/>
  <c r="J396" i="7"/>
  <c r="K396" i="7" s="1"/>
  <c r="J397" i="7"/>
  <c r="K397" i="7" s="1"/>
  <c r="J398" i="7"/>
  <c r="K398" i="7" s="1"/>
  <c r="J399" i="7"/>
  <c r="K399" i="7" s="1"/>
  <c r="J400" i="7"/>
  <c r="K400" i="7" s="1"/>
  <c r="J401" i="7"/>
  <c r="K401" i="7" s="1"/>
  <c r="J402" i="7"/>
  <c r="K402" i="7" s="1"/>
  <c r="J403" i="7"/>
  <c r="K403" i="7" s="1"/>
  <c r="J404" i="7"/>
  <c r="K404" i="7" s="1"/>
  <c r="J405" i="7"/>
  <c r="K405" i="7" s="1"/>
  <c r="J406" i="7"/>
  <c r="K406" i="7" s="1"/>
  <c r="J407" i="7"/>
  <c r="K407" i="7" s="1"/>
  <c r="J408" i="7"/>
  <c r="K408" i="7" s="1"/>
  <c r="J409" i="7"/>
  <c r="K409" i="7" s="1"/>
  <c r="J410" i="7"/>
  <c r="K410" i="7" s="1"/>
  <c r="J411" i="7"/>
  <c r="K411" i="7" s="1"/>
  <c r="J412" i="7"/>
  <c r="K412" i="7" s="1"/>
  <c r="J413" i="7"/>
  <c r="K413" i="7" s="1"/>
  <c r="J414" i="7"/>
  <c r="K414" i="7" s="1"/>
  <c r="J415" i="7"/>
  <c r="K415" i="7" s="1"/>
  <c r="J416" i="7"/>
  <c r="K416" i="7" s="1"/>
  <c r="J417" i="7"/>
  <c r="K417" i="7" s="1"/>
  <c r="J418" i="7"/>
  <c r="K418" i="7" s="1"/>
  <c r="J419" i="7"/>
  <c r="K419" i="7" s="1"/>
  <c r="J420" i="7"/>
  <c r="K420" i="7" s="1"/>
  <c r="J421" i="7"/>
  <c r="K421" i="7" s="1"/>
  <c r="J422" i="7"/>
  <c r="K422" i="7" s="1"/>
  <c r="J423" i="7"/>
  <c r="K423" i="7" s="1"/>
  <c r="J424" i="7"/>
  <c r="K424" i="7" s="1"/>
  <c r="J425" i="7"/>
  <c r="K425" i="7" s="1"/>
  <c r="J426" i="7"/>
  <c r="K426" i="7" s="1"/>
  <c r="J427" i="7"/>
  <c r="K427" i="7" s="1"/>
  <c r="J428" i="7"/>
  <c r="K428" i="7" s="1"/>
  <c r="J429" i="7"/>
  <c r="K429" i="7" s="1"/>
  <c r="J430" i="7"/>
  <c r="K430" i="7" s="1"/>
  <c r="J431" i="7"/>
  <c r="K431" i="7" s="1"/>
  <c r="J432" i="7"/>
  <c r="K432" i="7" s="1"/>
  <c r="J433" i="7"/>
  <c r="K433" i="7" s="1"/>
  <c r="J434" i="7"/>
  <c r="K434" i="7" s="1"/>
  <c r="J435" i="7"/>
  <c r="K435" i="7" s="1"/>
  <c r="J436" i="7"/>
  <c r="K436" i="7" s="1"/>
  <c r="J437" i="7"/>
  <c r="K437" i="7" s="1"/>
  <c r="J438" i="7"/>
  <c r="K438" i="7" s="1"/>
  <c r="J439" i="7"/>
  <c r="K439" i="7" s="1"/>
  <c r="J440" i="7"/>
  <c r="K440" i="7" s="1"/>
  <c r="J441" i="7"/>
  <c r="K441" i="7" s="1"/>
  <c r="J442" i="7"/>
  <c r="K442" i="7" s="1"/>
  <c r="J443" i="7"/>
  <c r="K443" i="7" s="1"/>
  <c r="J444" i="7"/>
  <c r="K444" i="7" s="1"/>
  <c r="J445" i="7"/>
  <c r="K445" i="7" s="1"/>
  <c r="J446" i="7"/>
  <c r="K446" i="7" s="1"/>
  <c r="J447" i="7"/>
  <c r="K447" i="7" s="1"/>
  <c r="J448" i="7"/>
  <c r="K448" i="7" s="1"/>
  <c r="J449" i="7"/>
  <c r="K449" i="7" s="1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K455" i="7" s="1"/>
  <c r="J456" i="7"/>
  <c r="K456" i="7" s="1"/>
  <c r="J457" i="7"/>
  <c r="K457" i="7" s="1"/>
  <c r="J458" i="7"/>
  <c r="K458" i="7" s="1"/>
  <c r="J459" i="7"/>
  <c r="K459" i="7" s="1"/>
  <c r="J460" i="7"/>
  <c r="K460" i="7" s="1"/>
  <c r="J461" i="7"/>
  <c r="K461" i="7" s="1"/>
  <c r="J462" i="7"/>
  <c r="K462" i="7" s="1"/>
  <c r="J463" i="7"/>
  <c r="K463" i="7" s="1"/>
  <c r="J464" i="7"/>
  <c r="K464" i="7" s="1"/>
  <c r="J465" i="7"/>
  <c r="K465" i="7" s="1"/>
  <c r="J466" i="7"/>
  <c r="K466" i="7" s="1"/>
  <c r="J467" i="7"/>
  <c r="K467" i="7" s="1"/>
  <c r="J468" i="7"/>
  <c r="K468" i="7" s="1"/>
  <c r="J469" i="7"/>
  <c r="K469" i="7" s="1"/>
  <c r="J470" i="7"/>
  <c r="K470" i="7" s="1"/>
  <c r="J471" i="7"/>
  <c r="K471" i="7" s="1"/>
  <c r="J472" i="7"/>
  <c r="K472" i="7" s="1"/>
  <c r="J473" i="7"/>
  <c r="K473" i="7" s="1"/>
  <c r="J474" i="7"/>
  <c r="K474" i="7" s="1"/>
  <c r="J475" i="7"/>
  <c r="K475" i="7" s="1"/>
  <c r="J476" i="7"/>
  <c r="K476" i="7" s="1"/>
  <c r="J477" i="7"/>
  <c r="K477" i="7" s="1"/>
  <c r="J478" i="7"/>
  <c r="K478" i="7" s="1"/>
  <c r="J479" i="7"/>
  <c r="K479" i="7" s="1"/>
  <c r="J480" i="7"/>
  <c r="K480" i="7" s="1"/>
  <c r="J481" i="7"/>
  <c r="K481" i="7" s="1"/>
  <c r="J482" i="7"/>
  <c r="K482" i="7" s="1"/>
  <c r="J483" i="7"/>
  <c r="K483" i="7" s="1"/>
  <c r="J484" i="7"/>
  <c r="K484" i="7" s="1"/>
  <c r="J485" i="7"/>
  <c r="K485" i="7" s="1"/>
  <c r="J486" i="7"/>
  <c r="K486" i="7" s="1"/>
  <c r="J487" i="7"/>
  <c r="K487" i="7" s="1"/>
  <c r="J488" i="7"/>
  <c r="K488" i="7" s="1"/>
  <c r="J489" i="7"/>
  <c r="K489" i="7" s="1"/>
  <c r="J490" i="7"/>
  <c r="K490" i="7" s="1"/>
  <c r="J491" i="7"/>
  <c r="K491" i="7" s="1"/>
  <c r="J492" i="7"/>
  <c r="K492" i="7" s="1"/>
  <c r="J493" i="7"/>
  <c r="K493" i="7" s="1"/>
  <c r="J494" i="7"/>
  <c r="K494" i="7" s="1"/>
  <c r="J495" i="7"/>
  <c r="K495" i="7" s="1"/>
  <c r="J496" i="7"/>
  <c r="K496" i="7" s="1"/>
  <c r="J497" i="7"/>
  <c r="K497" i="7" s="1"/>
  <c r="J498" i="7"/>
  <c r="K498" i="7" s="1"/>
  <c r="J499" i="7"/>
  <c r="K499" i="7" s="1"/>
  <c r="J500" i="7"/>
  <c r="K500" i="7" s="1"/>
  <c r="J501" i="7"/>
  <c r="K501" i="7" s="1"/>
  <c r="J502" i="7"/>
  <c r="K502" i="7" s="1"/>
  <c r="J503" i="7"/>
  <c r="K503" i="7" s="1"/>
  <c r="J504" i="7"/>
  <c r="K504" i="7" s="1"/>
  <c r="J505" i="7"/>
  <c r="K505" i="7" s="1"/>
  <c r="J506" i="7"/>
  <c r="K506" i="7" s="1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K512" i="7" s="1"/>
  <c r="J513" i="7"/>
  <c r="K513" i="7" s="1"/>
  <c r="J514" i="7"/>
  <c r="K514" i="7" s="1"/>
  <c r="J515" i="7"/>
  <c r="K515" i="7" s="1"/>
  <c r="J516" i="7"/>
  <c r="K516" i="7" s="1"/>
  <c r="J517" i="7"/>
  <c r="K517" i="7" s="1"/>
  <c r="J518" i="7"/>
  <c r="K518" i="7" s="1"/>
  <c r="J519" i="7"/>
  <c r="K519" i="7" s="1"/>
  <c r="J520" i="7"/>
  <c r="K520" i="7" s="1"/>
  <c r="J521" i="7"/>
  <c r="K521" i="7" s="1"/>
  <c r="J522" i="7"/>
  <c r="K522" i="7" s="1"/>
  <c r="J523" i="7"/>
  <c r="K523" i="7" s="1"/>
  <c r="J524" i="7"/>
  <c r="K524" i="7" s="1"/>
  <c r="J525" i="7"/>
  <c r="K525" i="7" s="1"/>
  <c r="J526" i="7"/>
  <c r="K526" i="7" s="1"/>
  <c r="J527" i="7"/>
  <c r="K527" i="7" s="1"/>
  <c r="J528" i="7"/>
  <c r="K528" i="7" s="1"/>
  <c r="J529" i="7"/>
  <c r="K529" i="7" s="1"/>
  <c r="J530" i="7"/>
  <c r="K530" i="7" s="1"/>
  <c r="J531" i="7"/>
  <c r="K531" i="7" s="1"/>
  <c r="J532" i="7"/>
  <c r="K532" i="7" s="1"/>
  <c r="J533" i="7"/>
  <c r="K533" i="7" s="1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41" i="7"/>
  <c r="K541" i="7" s="1"/>
  <c r="J542" i="7"/>
  <c r="K542" i="7" s="1"/>
  <c r="J543" i="7"/>
  <c r="K543" i="7" s="1"/>
  <c r="J544" i="7"/>
  <c r="K544" i="7" s="1"/>
  <c r="J545" i="7"/>
  <c r="K545" i="7" s="1"/>
  <c r="J546" i="7"/>
  <c r="K546" i="7" s="1"/>
  <c r="J547" i="7"/>
  <c r="K547" i="7" s="1"/>
  <c r="J548" i="7"/>
  <c r="K548" i="7" s="1"/>
  <c r="J549" i="7"/>
  <c r="K549" i="7" s="1"/>
  <c r="J550" i="7"/>
  <c r="K550" i="7" s="1"/>
  <c r="J551" i="7"/>
  <c r="K551" i="7" s="1"/>
  <c r="J552" i="7"/>
  <c r="K552" i="7" s="1"/>
  <c r="J553" i="7"/>
  <c r="K553" i="7" s="1"/>
  <c r="J554" i="7"/>
  <c r="K554" i="7" s="1"/>
  <c r="J555" i="7"/>
  <c r="K555" i="7" s="1"/>
  <c r="J556" i="7"/>
  <c r="K556" i="7" s="1"/>
  <c r="J557" i="7"/>
  <c r="K557" i="7" s="1"/>
  <c r="J558" i="7"/>
  <c r="K558" i="7" s="1"/>
  <c r="J559" i="7"/>
  <c r="K559" i="7" s="1"/>
  <c r="J560" i="7"/>
  <c r="K560" i="7" s="1"/>
  <c r="J561" i="7"/>
  <c r="K561" i="7" s="1"/>
  <c r="J562" i="7"/>
  <c r="K562" i="7" s="1"/>
  <c r="J563" i="7"/>
  <c r="K563" i="7" s="1"/>
  <c r="AC2" i="4"/>
  <c r="AD2" i="4" s="1"/>
  <c r="AC3" i="4"/>
  <c r="AD3" i="4" s="1"/>
  <c r="AC4" i="4"/>
  <c r="AE4" i="4" s="1"/>
  <c r="AC5" i="4"/>
  <c r="AD5" i="4" s="1"/>
  <c r="AC6" i="4"/>
  <c r="AD6" i="4" s="1"/>
  <c r="AC7" i="4"/>
  <c r="AD7" i="4" s="1"/>
  <c r="AC8" i="4"/>
  <c r="AE8" i="4" s="1"/>
  <c r="AC9" i="4"/>
  <c r="AD9" i="4" s="1"/>
  <c r="AC10" i="4"/>
  <c r="AE10" i="4" s="1"/>
  <c r="AC11" i="4"/>
  <c r="AE11" i="4" s="1"/>
  <c r="AC12" i="4"/>
  <c r="AE12" i="4" s="1"/>
  <c r="AC13" i="4"/>
  <c r="AD13" i="4" s="1"/>
  <c r="AC14" i="4"/>
  <c r="AD14" i="4" s="1"/>
  <c r="AC15" i="4"/>
  <c r="AD15" i="4" s="1"/>
  <c r="AC16" i="4"/>
  <c r="AE16" i="4" s="1"/>
  <c r="AC17" i="4"/>
  <c r="AD17" i="4" s="1"/>
  <c r="AC18" i="4"/>
  <c r="AD18" i="4" s="1"/>
  <c r="AC19" i="4"/>
  <c r="AD19" i="4" s="1"/>
  <c r="AC20" i="4"/>
  <c r="AE20" i="4" s="1"/>
  <c r="AC21" i="4"/>
  <c r="AD21" i="4" s="1"/>
  <c r="AC22" i="4"/>
  <c r="AD22" i="4" s="1"/>
  <c r="AC23" i="4"/>
  <c r="AD23" i="4" s="1"/>
  <c r="AC24" i="4"/>
  <c r="AE24" i="4" s="1"/>
  <c r="AC25" i="4"/>
  <c r="AD25" i="4" s="1"/>
  <c r="AC26" i="4"/>
  <c r="AD26" i="4" s="1"/>
  <c r="AC27" i="4"/>
  <c r="AE27" i="4" s="1"/>
  <c r="AC28" i="4"/>
  <c r="AE28" i="4" s="1"/>
  <c r="AC29" i="4"/>
  <c r="AD29" i="4" s="1"/>
  <c r="AC30" i="4"/>
  <c r="AD30" i="4" s="1"/>
  <c r="AC31" i="4"/>
  <c r="AD31" i="4" s="1"/>
  <c r="AC32" i="4"/>
  <c r="AE32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Y13" i="4" l="1"/>
  <c r="AD10" i="4"/>
  <c r="Y21" i="4"/>
  <c r="Y29" i="4"/>
  <c r="Y5" i="4"/>
  <c r="AE31" i="4"/>
  <c r="Y30" i="4"/>
  <c r="Y22" i="4"/>
  <c r="Y14" i="4"/>
  <c r="Y6" i="4"/>
  <c r="Y20" i="4"/>
  <c r="Y4" i="4"/>
  <c r="Y19" i="4"/>
  <c r="Y11" i="4"/>
  <c r="Y28" i="4"/>
  <c r="Y12" i="4"/>
  <c r="Y26" i="4"/>
  <c r="AD28" i="4"/>
  <c r="AE26" i="4"/>
  <c r="Y25" i="4"/>
  <c r="Y17" i="4"/>
  <c r="Y9" i="4"/>
  <c r="Y27" i="4"/>
  <c r="AD27" i="4"/>
  <c r="AE19" i="4"/>
  <c r="AE18" i="4"/>
  <c r="Y31" i="4"/>
  <c r="Y23" i="4"/>
  <c r="Y15" i="4"/>
  <c r="Y7" i="4"/>
  <c r="AD12" i="4"/>
  <c r="AE15" i="4"/>
  <c r="AD11" i="4"/>
  <c r="AE3" i="4"/>
  <c r="Y18" i="4"/>
  <c r="Y10" i="4"/>
  <c r="Y2" i="4"/>
  <c r="AE23" i="4"/>
  <c r="AE2" i="4"/>
  <c r="AD20" i="4"/>
  <c r="AD8" i="4"/>
  <c r="AD24" i="4"/>
  <c r="AD32" i="4"/>
  <c r="AD16" i="4"/>
  <c r="AE7" i="4"/>
  <c r="AD4" i="4"/>
  <c r="AE25" i="4"/>
  <c r="AE17" i="4"/>
  <c r="AE9" i="4"/>
  <c r="AE30" i="4"/>
  <c r="AE22" i="4"/>
  <c r="AE14" i="4"/>
  <c r="AE6" i="4"/>
  <c r="AE29" i="4"/>
  <c r="AE21" i="4"/>
  <c r="AE13" i="4"/>
  <c r="AE5" i="4"/>
</calcChain>
</file>

<file path=xl/sharedStrings.xml><?xml version="1.0" encoding="utf-8"?>
<sst xmlns="http://schemas.openxmlformats.org/spreadsheetml/2006/main" count="6120" uniqueCount="1592">
  <si>
    <t>PDI Dashboard - Backend Data Workbook</t>
  </si>
  <si>
    <t>Purpose</t>
  </si>
  <si>
    <t>Single source of truth feeding the Power BI Desktop report and the Excel-native views of the Engineering &amp; Projects Portfolio Hub.</t>
  </si>
  <si>
    <t>As-of date</t>
  </si>
  <si>
    <t>All 'current' figures in this dummy dataset (progress %, overdue flags, KPI snapshots) are calculated as of the date in Config!B2, not TODAY(). Change that one cell to move the whole dataset's story forward.</t>
  </si>
  <si>
    <t>Folder links</t>
  </si>
  <si>
    <t>Set Config!B3 to your OneDrive 'Project Files' parent folder URL once. Every project's FolderLink column then builds automatically from Config!B3 + Projects!FolderName (see Projects sheet).</t>
  </si>
  <si>
    <t>Data volume</t>
  </si>
  <si>
    <t>Data is fully populated/realistic dummy data across 31 tracked projects (24 active + 7 closeout), 52 people, 400+ deliverables, 30+ risks, 100+ milestones and schedule activities, and a 12-month S-curve per active project. Six projects (PRJ-024, PRJ-021, PRJ-018, PRJ-015, PRJ-011, GLB-003) and their headline numbers are taken verbatim from the original HTML mockup; everything else is realistic invented data generated for a working demo, and totals will not match the mockup's placeholder KPI numbers to the digit since those were never wired to real records.</t>
  </si>
  <si>
    <t>Sheet</t>
  </si>
  <si>
    <t>What it is</t>
  </si>
  <si>
    <t>Config</t>
  </si>
  <si>
    <t>Two settings you edit: AsOfDate and OneDriveBaseURL.</t>
  </si>
  <si>
    <t>Lookups</t>
  </si>
  <si>
    <t>Dropdown/reference lists used for data validation and Power BI slicers.</t>
  </si>
  <si>
    <t>Projects</t>
  </si>
  <si>
    <t>Master project register - one row per tracked project. Everything else hangs off ProjectID.</t>
  </si>
  <si>
    <t>People</t>
  </si>
  <si>
    <t>Division headcount (engineering disciplines + PM/Services/CRV).</t>
  </si>
  <si>
    <t>Allocations</t>
  </si>
  <si>
    <t>Bridge table: who is working on which project, at what %.</t>
  </si>
  <si>
    <t>Deliverables</t>
  </si>
  <si>
    <t>Master Deliverables Register (MDR) - one row per document/deliverable.</t>
  </si>
  <si>
    <t>Risks</t>
  </si>
  <si>
    <t>Risk register (RAID log).</t>
  </si>
  <si>
    <t>Issues</t>
  </si>
  <si>
    <t>Open issues (RAID log).</t>
  </si>
  <si>
    <t>Actions</t>
  </si>
  <si>
    <t>Open actions (RAID log).</t>
  </si>
  <si>
    <t>ChangeRequests</t>
  </si>
  <si>
    <t>Change requests (RAID log).</t>
  </si>
  <si>
    <t>Milestones</t>
  </si>
  <si>
    <t>Key dates and gate reviews per project.</t>
  </si>
  <si>
    <t>Schedule_Activities</t>
  </si>
  <si>
    <t>Gantt bar data per active project (activity, start date, end date, % complete).</t>
  </si>
  <si>
    <t>SCurve_Monthly</t>
  </si>
  <si>
    <t>Monthly planned vs actual progress % per active project - drives every S-curve chart.</t>
  </si>
  <si>
    <t>Build order</t>
  </si>
  <si>
    <t>This workbook is fully populated end-to-end, but the Power BI report is being built in phases: Phase 1 = Home + Active Projects (portfolio) pages. Later phases wire up Project 360, Deliverables/MDR, Schedule &amp; Controls, Resources and Risks pages using tables already in this workbook.</t>
  </si>
  <si>
    <t>Setting</t>
  </si>
  <si>
    <t>Value</t>
  </si>
  <si>
    <t>AsOfDate</t>
  </si>
  <si>
    <t>OneDriveBaseURL</t>
  </si>
  <si>
    <t>PASTE-YOUR-ONEDRIVE-PROJECT-FILES-FOLDER-URL-HERE</t>
  </si>
  <si>
    <t>Departments</t>
  </si>
  <si>
    <t>Engineering</t>
  </si>
  <si>
    <t>Project Services</t>
  </si>
  <si>
    <t>Project Execution</t>
  </si>
  <si>
    <t>CRV</t>
  </si>
  <si>
    <t>Disciplines</t>
  </si>
  <si>
    <t>Process</t>
  </si>
  <si>
    <t>Mechanical</t>
  </si>
  <si>
    <t>Piping</t>
  </si>
  <si>
    <t>Instrumentation</t>
  </si>
  <si>
    <t>Electrical</t>
  </si>
  <si>
    <t>Civil / Structural</t>
  </si>
  <si>
    <t>Pipeline</t>
  </si>
  <si>
    <t>Project Engineering</t>
  </si>
  <si>
    <t>Assets</t>
  </si>
  <si>
    <t>OML 1</t>
  </si>
  <si>
    <t>OML 2</t>
  </si>
  <si>
    <t>OML 3</t>
  </si>
  <si>
    <t>OML 4</t>
  </si>
  <si>
    <t>OML 5</t>
  </si>
  <si>
    <t>OML 6</t>
  </si>
  <si>
    <t>OML 7</t>
  </si>
  <si>
    <t>OML 8</t>
  </si>
  <si>
    <t>OML 9</t>
  </si>
  <si>
    <t>OML 10</t>
  </si>
  <si>
    <t>Global</t>
  </si>
  <si>
    <t>DeliveryModels</t>
  </si>
  <si>
    <t>In-house</t>
  </si>
  <si>
    <t>In-house -&gt; Contractor</t>
  </si>
  <si>
    <t>Contractor-led</t>
  </si>
  <si>
    <t>Hybrid</t>
  </si>
  <si>
    <t>StageGates</t>
  </si>
  <si>
    <t>Identify</t>
  </si>
  <si>
    <t>Assess</t>
  </si>
  <si>
    <t>Select</t>
  </si>
  <si>
    <t>Define</t>
  </si>
  <si>
    <t>Execute</t>
  </si>
  <si>
    <t>Operate</t>
  </si>
  <si>
    <t>HealthStatus</t>
  </si>
  <si>
    <t>Green</t>
  </si>
  <si>
    <t>Amber</t>
  </si>
  <si>
    <t>Red</t>
  </si>
  <si>
    <t>RegisterStatus</t>
  </si>
  <si>
    <t>Active</t>
  </si>
  <si>
    <t>Closeout</t>
  </si>
  <si>
    <t>WorkflowStatus</t>
  </si>
  <si>
    <t>Internal Development</t>
  </si>
  <si>
    <t>Issued for Review</t>
  </si>
  <si>
    <t>Comments Received</t>
  </si>
  <si>
    <t>Revise &amp; Resubmit</t>
  </si>
  <si>
    <t>Approved / IFI</t>
  </si>
  <si>
    <t>RiskCategory</t>
  </si>
  <si>
    <t>Schedule</t>
  </si>
  <si>
    <t>Cost</t>
  </si>
  <si>
    <t>Execution</t>
  </si>
  <si>
    <t>Technical</t>
  </si>
  <si>
    <t>Safety</t>
  </si>
  <si>
    <t>Commercial</t>
  </si>
  <si>
    <t>ProjectType</t>
  </si>
  <si>
    <t>Asset Project</t>
  </si>
  <si>
    <t>Global Initiative</t>
  </si>
  <si>
    <t>ProjectID</t>
  </si>
  <si>
    <t>ProjectName</t>
  </si>
  <si>
    <t>ShortDescription</t>
  </si>
  <si>
    <t>Asset</t>
  </si>
  <si>
    <t>Department</t>
  </si>
  <si>
    <t>DeliveryModel</t>
  </si>
  <si>
    <t>StageGate</t>
  </si>
  <si>
    <t>PortfolioPhase</t>
  </si>
  <si>
    <t>ProjectManager</t>
  </si>
  <si>
    <t>LeadEngineer</t>
  </si>
  <si>
    <t>PlannedProgressPct</t>
  </si>
  <si>
    <t>ActualProgressPct</t>
  </si>
  <si>
    <t>ScheduleVarianceDays</t>
  </si>
  <si>
    <t>StartDate</t>
  </si>
  <si>
    <t>PlannedCompletionDate</t>
  </si>
  <si>
    <t>ForecastCompletionDate</t>
  </si>
  <si>
    <t>DeliverablesTotal</t>
  </si>
  <si>
    <t>DeliverablesComplete</t>
  </si>
  <si>
    <t>DeliverablesOverdue</t>
  </si>
  <si>
    <t>OpenRisksCount</t>
  </si>
  <si>
    <t>ResourceHeadcount</t>
  </si>
  <si>
    <t>MDRClosedPct</t>
  </si>
  <si>
    <t>PunchItems</t>
  </si>
  <si>
    <t>LessonsLearnedStatus</t>
  </si>
  <si>
    <t>ScopeDescription</t>
  </si>
  <si>
    <t>FolderName</t>
  </si>
  <si>
    <t>FolderLink</t>
  </si>
  <si>
    <t>FolderURL</t>
  </si>
  <si>
    <t>PRJ-024</t>
  </si>
  <si>
    <t>North Hub Compression Upgrade</t>
  </si>
  <si>
    <t>Compression upgrade</t>
  </si>
  <si>
    <t>O. Adeyemi</t>
  </si>
  <si>
    <t>A. Musa</t>
  </si>
  <si>
    <t>Pending</t>
  </si>
  <si>
    <t>Upgrade of the existing compression train to increase gas handling capacity and improve operating reliability. Scope includes process simulation, equipment selection, piping modification, E&amp;I design and execution support.</t>
  </si>
  <si>
    <t>PRJ-021</t>
  </si>
  <si>
    <t>Offshore Water Injection</t>
  </si>
  <si>
    <t>Brownfield modification</t>
  </si>
  <si>
    <t>T. Ibrahim</t>
  </si>
  <si>
    <t>F. Etim</t>
  </si>
  <si>
    <t>Brownfield modification of the offshore water injection system to restore injection capacity and support reservoir pressure maintenance.</t>
  </si>
  <si>
    <t>PRJ-018</t>
  </si>
  <si>
    <t>Produced Water Upgrade</t>
  </si>
  <si>
    <t>Process debottlenecking</t>
  </si>
  <si>
    <t>A. Okoro</t>
  </si>
  <si>
    <t>G. Chukwu</t>
  </si>
  <si>
    <t>Process debottlenecking of the produced water treatment train to meet revised discharge and reinjection specifications.</t>
  </si>
  <si>
    <t>PRJ-015</t>
  </si>
  <si>
    <t>Gas Export Metering</t>
  </si>
  <si>
    <t>Metering package</t>
  </si>
  <si>
    <t>M. Bello</t>
  </si>
  <si>
    <t>S. Aliyu</t>
  </si>
  <si>
    <t>Replacement metering package for gas export fiscal measurement, including new metering skid, prover loop and control system integration.</t>
  </si>
  <si>
    <t>PRJ-011</t>
  </si>
  <si>
    <t>Utilities Reliability</t>
  </si>
  <si>
    <t>Utilities upgrade</t>
  </si>
  <si>
    <t>R. Bello</t>
  </si>
  <si>
    <t>D. Umeh</t>
  </si>
  <si>
    <t>Reliability improvement programme across instrument air, power generation and cooling water utility systems.</t>
  </si>
  <si>
    <t>GLB-003</t>
  </si>
  <si>
    <t>Licence Validation Programme</t>
  </si>
  <si>
    <t>Cross-asset licence compliance</t>
  </si>
  <si>
    <t>K. Briggs</t>
  </si>
  <si>
    <t>H. Sanni</t>
  </si>
  <si>
    <t>Cross-asset programme validating licence-to-operate documentation and regulatory compliance evidence across all producing assets.</t>
  </si>
  <si>
    <t>PRJ-006</t>
  </si>
  <si>
    <t>Utility Tie-In</t>
  </si>
  <si>
    <t>Utility interconnection</t>
  </si>
  <si>
    <t>Tie-in of new utility interconnection between the central processing facility and satellite flowstation.</t>
  </si>
  <si>
    <t>PRJ-009</t>
  </si>
  <si>
    <t>Compressor Reliability</t>
  </si>
  <si>
    <t>Reliability upgrade</t>
  </si>
  <si>
    <t>Complete</t>
  </si>
  <si>
    <t>Reliability upgrade of export compressor auxiliaries following repeated trip events.</t>
  </si>
  <si>
    <t>PRJ-005</t>
  </si>
  <si>
    <t>Separator Debottleneck Study</t>
  </si>
  <si>
    <t>Concept study</t>
  </si>
  <si>
    <t>F. Nwosu</t>
  </si>
  <si>
    <t>I. Ogundele</t>
  </si>
  <si>
    <t>Concept-level study to debottleneck the second-stage separator train ahead of planned production ramp-up.</t>
  </si>
  <si>
    <t>PRJ-008</t>
  </si>
  <si>
    <t>Flare System Upgrade</t>
  </si>
  <si>
    <t>N. Balogun</t>
  </si>
  <si>
    <t>Assessment of flare tip and knockout drum capacity against revised process design basis.</t>
  </si>
  <si>
    <t>PRJ-013</t>
  </si>
  <si>
    <t>Wellhead Platform Modification</t>
  </si>
  <si>
    <t>Concept select</t>
  </si>
  <si>
    <t>C. Danjuma</t>
  </si>
  <si>
    <t>T. Ogundele</t>
  </si>
  <si>
    <t>Selection of preferred concept for wellhead platform modification to accommodate two additional well slots.</t>
  </si>
  <si>
    <t>PRJ-019</t>
  </si>
  <si>
    <t>Corrosion Management Programme</t>
  </si>
  <si>
    <t>L. Abubakar</t>
  </si>
  <si>
    <t>Identification phase for an integrity programme addressing internal corrosion on ageing flowline network.</t>
  </si>
  <si>
    <t>PRJ-023</t>
  </si>
  <si>
    <t>Digital Field Monitoring</t>
  </si>
  <si>
    <t>M. Ekong</t>
  </si>
  <si>
    <t>Assessment of digital field monitoring and remote surveillance options for the metering and wellhead network.</t>
  </si>
  <si>
    <t>GLB-004</t>
  </si>
  <si>
    <t>HSE Case Revalidation</t>
  </si>
  <si>
    <t>Cross-asset select</t>
  </si>
  <si>
    <t>Cross-asset programme to revalidate HSE cases against updated regulatory guidance and incident learnings.</t>
  </si>
  <si>
    <t>PRJ-001</t>
  </si>
  <si>
    <t>Wellhead Flowline Replacement</t>
  </si>
  <si>
    <t>FEED</t>
  </si>
  <si>
    <t>FEED for replacement of ageing wellhead flowlines identified through the corrosion inspection programme.</t>
  </si>
  <si>
    <t>PRJ-003</t>
  </si>
  <si>
    <t>Chemical Injection Upgrade</t>
  </si>
  <si>
    <t>Front-end design for upgraded chemical injection skids to support produced water treatment performance.</t>
  </si>
  <si>
    <t>PRJ-007</t>
  </si>
  <si>
    <t>Compressor Train Automation</t>
  </si>
  <si>
    <t>Design of upgraded automation and anti-surge control for the compression train serving OML 4.</t>
  </si>
  <si>
    <t>PRJ-010</t>
  </si>
  <si>
    <t>Produced Water Reinjection</t>
  </si>
  <si>
    <t>Front-end design for produced water reinjection facilities to reduce surface discharge volumes.</t>
  </si>
  <si>
    <t>PRJ-014</t>
  </si>
  <si>
    <t>Power Generation Upgrade</t>
  </si>
  <si>
    <t>J. Adamu</t>
  </si>
  <si>
    <t>Front-end design for additional gas turbine generation capacity to meet forecast facility power demand.</t>
  </si>
  <si>
    <t>PRJ-020</t>
  </si>
  <si>
    <t>SCADA Modernisation</t>
  </si>
  <si>
    <t>B. Yakubu</t>
  </si>
  <si>
    <t>Modernisation of the field SCADA and telemetry system connecting wellheads to the central control room.</t>
  </si>
  <si>
    <t>GLB-005</t>
  </si>
  <si>
    <t>Pipeline Integrity Digitalisation</t>
  </si>
  <si>
    <t>Cross-asset digitalisation of pipeline integrity inspection records into a single management system.</t>
  </si>
  <si>
    <t>PRJ-004</t>
  </si>
  <si>
    <t>Fire and Gas System Renewal</t>
  </si>
  <si>
    <t>Construction</t>
  </si>
  <si>
    <t>Renewal of the fire and gas detection system across the central processing facility.</t>
  </si>
  <si>
    <t>PRJ-012</t>
  </si>
  <si>
    <t>Compressor Overhaul</t>
  </si>
  <si>
    <t>Major overhaul of the standby export compressor, including rotor replacement and control system upgrade.</t>
  </si>
  <si>
    <t>PRJ-016</t>
  </si>
  <si>
    <t>Subsea Tie-in Campaign</t>
  </si>
  <si>
    <t>Subsea tie-in campaign connecting two new well slots into the existing manifold and riser system.</t>
  </si>
  <si>
    <t>PRJ-022</t>
  </si>
  <si>
    <t>Electrical Substation Upgrade</t>
  </si>
  <si>
    <t>Upgrade of the 33kV substation supplying the flowstation to accommodate additional electrical load.</t>
  </si>
  <si>
    <t>PRJ-026</t>
  </si>
  <si>
    <t>Tank Farm Expansion</t>
  </si>
  <si>
    <t>Expansion of crude storage capacity through addition of two new floating-roof tanks.</t>
  </si>
  <si>
    <t>PRJ-017</t>
  </si>
  <si>
    <t>Wellhead Platform Refurbishment</t>
  </si>
  <si>
    <t>Refurbishment of ageing wellhead platform structure and piping, now in closeout.</t>
  </si>
  <si>
    <t>PRJ-027</t>
  </si>
  <si>
    <t>Instrument Air System Replacement</t>
  </si>
  <si>
    <t>Replacement of the instrument air compressors and dryers, now in closeout.</t>
  </si>
  <si>
    <t>PRJ-028</t>
  </si>
  <si>
    <t>Metering Skid Replacement</t>
  </si>
  <si>
    <t>Replacement of the custody transfer metering skid, now in closeout.</t>
  </si>
  <si>
    <t>GLB-001</t>
  </si>
  <si>
    <t>Regional Pipeline ROW Survey</t>
  </si>
  <si>
    <t>Cross-asset right-of-way survey and encroachment programme, now in closeout.</t>
  </si>
  <si>
    <t>GLB-002</t>
  </si>
  <si>
    <t>Emergency Response Plan Update</t>
  </si>
  <si>
    <t>Cross-asset update of emergency response plans and drills, pending final sign-off.</t>
  </si>
  <si>
    <t>PersonID</t>
  </si>
  <si>
    <t>Name</t>
  </si>
  <si>
    <t>Discipline</t>
  </si>
  <si>
    <t>CapacityFTE</t>
  </si>
  <si>
    <t>PrimaryAsset</t>
  </si>
  <si>
    <t>AllocatedPct</t>
  </si>
  <si>
    <t>UtilisationStatus</t>
  </si>
  <si>
    <t>P-001</t>
  </si>
  <si>
    <t>P-002</t>
  </si>
  <si>
    <t>P-003</t>
  </si>
  <si>
    <t>P-004</t>
  </si>
  <si>
    <t>P-005</t>
  </si>
  <si>
    <t>B. Yusuf</t>
  </si>
  <si>
    <t>P-006</t>
  </si>
  <si>
    <t>B. Okafor</t>
  </si>
  <si>
    <t>P-007</t>
  </si>
  <si>
    <t>P-008</t>
  </si>
  <si>
    <t>E. Okoro</t>
  </si>
  <si>
    <t>P-009</t>
  </si>
  <si>
    <t>P-010</t>
  </si>
  <si>
    <t>P-011</t>
  </si>
  <si>
    <t>P-012</t>
  </si>
  <si>
    <t>C. James</t>
  </si>
  <si>
    <t>P-013</t>
  </si>
  <si>
    <t>P-014</t>
  </si>
  <si>
    <t>I. Briggs</t>
  </si>
  <si>
    <t>P-015</t>
  </si>
  <si>
    <t>S. Uzoma</t>
  </si>
  <si>
    <t>P-016</t>
  </si>
  <si>
    <t>P-017</t>
  </si>
  <si>
    <t>Q. Chukwu</t>
  </si>
  <si>
    <t>P-018</t>
  </si>
  <si>
    <t>A. Ihejirika</t>
  </si>
  <si>
    <t>P-019</t>
  </si>
  <si>
    <t>J. Ibrahim</t>
  </si>
  <si>
    <t>P-020</t>
  </si>
  <si>
    <t>J. Musa</t>
  </si>
  <si>
    <t>P-021</t>
  </si>
  <si>
    <t>N. Effiong</t>
  </si>
  <si>
    <t>P-022</t>
  </si>
  <si>
    <t>E. Danjuma</t>
  </si>
  <si>
    <t>P-023</t>
  </si>
  <si>
    <t>U. Chukwuemeka</t>
  </si>
  <si>
    <t>P-024</t>
  </si>
  <si>
    <t>P. Ndukwe</t>
  </si>
  <si>
    <t>P-025</t>
  </si>
  <si>
    <t>N. Uzoma</t>
  </si>
  <si>
    <t>P-026</t>
  </si>
  <si>
    <t>M. Yakubu</t>
  </si>
  <si>
    <t>P-027</t>
  </si>
  <si>
    <t>O. Musa</t>
  </si>
  <si>
    <t>P-028</t>
  </si>
  <si>
    <t>P-029</t>
  </si>
  <si>
    <t>C. Ihejirika</t>
  </si>
  <si>
    <t>P-030</t>
  </si>
  <si>
    <t>R. Balogun</t>
  </si>
  <si>
    <t>P-031</t>
  </si>
  <si>
    <t>C. Ibrahim</t>
  </si>
  <si>
    <t>P-032</t>
  </si>
  <si>
    <t>R. Ogunleye</t>
  </si>
  <si>
    <t>P-033</t>
  </si>
  <si>
    <t>Project Management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</si>
  <si>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</si>
  <si>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</si>
  <si>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</si>
  <si>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</si>
  <si>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</si>
  <si>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</si>
  <si>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</si>
  <si>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</si>
  <si>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</si>
  <si>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</si>
  <si>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</si>
  <si>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</si>
  <si>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I. James</t>
  </si>
  <si>
    <t>Community / Regulatory</t>
  </si>
  <si>
    <t>P-046</t>
  </si>
  <si>
    <t>L. Okafor</t>
  </si>
  <si>
    <t>Project Controls</t>
  </si>
  <si>
    <t>P-047</t>
  </si>
  <si>
    <t>I. Okoro</t>
  </si>
  <si>
    <t>P-048</t>
  </si>
  <si>
    <t>F. Eze</t>
  </si>
  <si>
    <t>P-049</t>
  </si>
  <si>
    <t>H. Musa</t>
  </si>
  <si>
    <t>P-050</t>
  </si>
  <si>
    <t>M. Mohammed</t>
  </si>
  <si>
    <t>P-051</t>
  </si>
  <si>
    <t>R. Nwosu</t>
  </si>
  <si>
    <t>P-052</t>
  </si>
  <si>
    <t>H. Yusuf</t>
  </si>
  <si>
    <t>AllocationID</t>
  </si>
  <si>
    <t>AllocationPct</t>
  </si>
  <si>
    <t>RoleOnProject</t>
  </si>
  <si>
    <t>AL-001</t>
  </si>
  <si>
    <t>Electrical Engineer</t>
  </si>
  <si>
    <t>AL-002</t>
  </si>
  <si>
    <t>AL-003</t>
  </si>
  <si>
    <t>Mechanical Engineer</t>
  </si>
  <si>
    <t>AL-004</t>
  </si>
  <si>
    <t>AL-005</t>
  </si>
  <si>
    <t>Lead Process Engineer</t>
  </si>
  <si>
    <t>AL-006</t>
  </si>
  <si>
    <t>Process Engineer</t>
  </si>
  <si>
    <t>AL-007</t>
  </si>
  <si>
    <t>Piping Engineer</t>
  </si>
  <si>
    <t>AL-008</t>
  </si>
  <si>
    <t>AL-009</t>
  </si>
  <si>
    <t>AL-010</t>
  </si>
  <si>
    <t>AL-011</t>
  </si>
  <si>
    <t>AL-012</t>
  </si>
  <si>
    <t>AL-013</t>
  </si>
  <si>
    <t>AL-014</t>
  </si>
  <si>
    <t>AL-015</t>
  </si>
  <si>
    <t>Instrumentation Engineer</t>
  </si>
  <si>
    <t>AL-016</t>
  </si>
  <si>
    <t>AL-017</t>
  </si>
  <si>
    <t>AL-018</t>
  </si>
  <si>
    <t>AL-019</t>
  </si>
  <si>
    <t>Civil / Structural Engineer</t>
  </si>
  <si>
    <t>AL-020</t>
  </si>
  <si>
    <t>AL-021</t>
  </si>
  <si>
    <t>AL-022</t>
  </si>
  <si>
    <t>AL-023</t>
  </si>
  <si>
    <t>AL-024</t>
  </si>
  <si>
    <t>AL-025</t>
  </si>
  <si>
    <t>AL-026</t>
  </si>
  <si>
    <t>AL-027</t>
  </si>
  <si>
    <t>AL-028</t>
  </si>
  <si>
    <t>AL-029</t>
  </si>
  <si>
    <t>AL-030</t>
  </si>
  <si>
    <t>AL-031</t>
  </si>
  <si>
    <t>AL-032</t>
  </si>
  <si>
    <t>AL-033</t>
  </si>
  <si>
    <t>AL-034</t>
  </si>
  <si>
    <t>AL-035</t>
  </si>
  <si>
    <t>AL-036</t>
  </si>
  <si>
    <t>AL-037</t>
  </si>
  <si>
    <t>AL-038</t>
  </si>
  <si>
    <t>AL-039</t>
  </si>
  <si>
    <t>AL-040</t>
  </si>
  <si>
    <t>Project Engineering Engineer</t>
  </si>
  <si>
    <t>AL-041</t>
  </si>
  <si>
    <t>AL-042</t>
  </si>
  <si>
    <t>AL-043</t>
  </si>
  <si>
    <t>AL-044</t>
  </si>
  <si>
    <t>Pipeline Engineer</t>
  </si>
  <si>
    <t>AL-045</t>
  </si>
  <si>
    <t>AL-046</t>
  </si>
  <si>
    <t>AL-047</t>
  </si>
  <si>
    <t>Project Manager</t>
  </si>
  <si>
    <t>AL-048</t>
  </si>
  <si>
    <t>AL-049</t>
  </si>
  <si>
    <t>AL-050</t>
  </si>
  <si>
    <t>AL-051</t>
  </si>
  <si>
    <t>AL-052</t>
  </si>
  <si>
    <t>AL-053</t>
  </si>
  <si>
    <t>AL-054</t>
  </si>
  <si>
    <t>AL-055</t>
  </si>
  <si>
    <t>AL-056</t>
  </si>
  <si>
    <t>AL-057</t>
  </si>
  <si>
    <t>AL-058</t>
  </si>
  <si>
    <t>AL-059</t>
  </si>
  <si>
    <t>AL-060</t>
  </si>
  <si>
    <t>AL-061</t>
  </si>
  <si>
    <t>AL-062</t>
  </si>
  <si>
    <t>AL-063</t>
  </si>
  <si>
    <t>CRV Coordinator</t>
  </si>
  <si>
    <t>AL-064</t>
  </si>
  <si>
    <t>Project Controls Lead</t>
  </si>
  <si>
    <t>AL-065</t>
  </si>
  <si>
    <t>AL-066</t>
  </si>
  <si>
    <t>AL-067</t>
  </si>
  <si>
    <t>AL-068</t>
  </si>
  <si>
    <t>AL-069</t>
  </si>
  <si>
    <t>AL-070</t>
  </si>
  <si>
    <t>AL-071</t>
  </si>
  <si>
    <t>AL-072</t>
  </si>
  <si>
    <t>DeliverableID</t>
  </si>
  <si>
    <t>DeliverableName</t>
  </si>
  <si>
    <t>ResponsiblePerson</t>
  </si>
  <si>
    <t>Revision</t>
  </si>
  <si>
    <t>IssueDate</t>
  </si>
  <si>
    <t>DueDate</t>
  </si>
  <si>
    <t>IsOverdue</t>
  </si>
  <si>
    <t>DisplayStatus</t>
  </si>
  <si>
    <t>MDR-0001</t>
  </si>
  <si>
    <t>Rotating Equipment Spec</t>
  </si>
  <si>
    <t>MDR-0002</t>
  </si>
  <si>
    <t>Vessel Mechanical Design</t>
  </si>
  <si>
    <t>MDR-0003</t>
  </si>
  <si>
    <t>Tie-in Schedule</t>
  </si>
  <si>
    <t>MDR-0004</t>
  </si>
  <si>
    <t>Cause &amp; Effect Diagram - OML 4</t>
  </si>
  <si>
    <t>MDR-0005</t>
  </si>
  <si>
    <t>Line List</t>
  </si>
  <si>
    <t>MDR-0006</t>
  </si>
  <si>
    <t>Compressor Datasheet - OML 4</t>
  </si>
  <si>
    <t>MDR-0007</t>
  </si>
  <si>
    <t>Corrosion Assessment Report - OML 4</t>
  </si>
  <si>
    <t>MDR-0008</t>
  </si>
  <si>
    <t>Electrical Design Basis</t>
  </si>
  <si>
    <t>MDR-0009</t>
  </si>
  <si>
    <t>Pipe Support Register - OML 4</t>
  </si>
  <si>
    <t>MDR-0010</t>
  </si>
  <si>
    <t>Instrument Index</t>
  </si>
  <si>
    <t>MDR-0011</t>
  </si>
  <si>
    <t>SCADA Architecture Drawing - OML 4</t>
  </si>
  <si>
    <t>MDR-0012</t>
  </si>
  <si>
    <t>Mechanical Handling Study</t>
  </si>
  <si>
    <t>MDR-0013</t>
  </si>
  <si>
    <t>Loop Diagram</t>
  </si>
  <si>
    <t>MDR-0014</t>
  </si>
  <si>
    <t>Material Take-Off</t>
  </si>
  <si>
    <t>MDR-0015</t>
  </si>
  <si>
    <t>MDR-0016</t>
  </si>
  <si>
    <t>Process Design Basis - OML 4</t>
  </si>
  <si>
    <t>MDR-0017</t>
  </si>
  <si>
    <t>Corrosion Assessment Report</t>
  </si>
  <si>
    <t>MDR-0018</t>
  </si>
  <si>
    <t>P&amp;ID</t>
  </si>
  <si>
    <t>MDR-0019</t>
  </si>
  <si>
    <t>Pipe Support Register</t>
  </si>
  <si>
    <t>MDR-0020</t>
  </si>
  <si>
    <t>Loop Diagram - OML 4</t>
  </si>
  <si>
    <t>MDR-0021</t>
  </si>
  <si>
    <t>Control Narrative</t>
  </si>
  <si>
    <t>MDR-0022</t>
  </si>
  <si>
    <t>Piping GA Drawing - OML 4</t>
  </si>
  <si>
    <t>MDR-0023</t>
  </si>
  <si>
    <t>MDR-0024</t>
  </si>
  <si>
    <t>Load List</t>
  </si>
  <si>
    <t>MDR-0025</t>
  </si>
  <si>
    <t>MDR-0026</t>
  </si>
  <si>
    <t>Instrument Index - OML 7</t>
  </si>
  <si>
    <t>MDR-0027</t>
  </si>
  <si>
    <t>Piping Isometric</t>
  </si>
  <si>
    <t>MDR-0028</t>
  </si>
  <si>
    <t>Process Flow Diagram</t>
  </si>
  <si>
    <t>MDR-0029</t>
  </si>
  <si>
    <t>Process Datasheet - OML 7</t>
  </si>
  <si>
    <t>MDR-0030</t>
  </si>
  <si>
    <t>Relief &amp; Blowdown Study</t>
  </si>
  <si>
    <t>MDR-0031</t>
  </si>
  <si>
    <t>Process Design Basis</t>
  </si>
  <si>
    <t>MDR-0032</t>
  </si>
  <si>
    <t>SCADA Architecture Drawing - OML 7</t>
  </si>
  <si>
    <t>MDR-0033</t>
  </si>
  <si>
    <t>MDR-0034</t>
  </si>
  <si>
    <t>Single Line Diagram</t>
  </si>
  <si>
    <t>MDR-0035</t>
  </si>
  <si>
    <t>MDR-0036</t>
  </si>
  <si>
    <t>MDR-0037</t>
  </si>
  <si>
    <t>Control Narrative - OML 7</t>
  </si>
  <si>
    <t>MDR-0038</t>
  </si>
  <si>
    <t>Pump Datasheet - OML 7</t>
  </si>
  <si>
    <t>MDR-0039</t>
  </si>
  <si>
    <t>Pipeline Design Basis</t>
  </si>
  <si>
    <t>MDR-0040</t>
  </si>
  <si>
    <t>Instrument Datasheet - OML 7</t>
  </si>
  <si>
    <t>MDR-0041</t>
  </si>
  <si>
    <t>Pipe Support Register - OML 7</t>
  </si>
  <si>
    <t>MDR-0042</t>
  </si>
  <si>
    <t>Cable Schedule</t>
  </si>
  <si>
    <t>MDR-0043</t>
  </si>
  <si>
    <t>Cause &amp; Effect Diagram - OML 7</t>
  </si>
  <si>
    <t>MDR-0044</t>
  </si>
  <si>
    <t>Pump Datasheet</t>
  </si>
  <si>
    <t>MDR-0045</t>
  </si>
  <si>
    <t>Instrument Datasheet</t>
  </si>
  <si>
    <t>MDR-0046</t>
  </si>
  <si>
    <t>Foundation Design Report</t>
  </si>
  <si>
    <t>MDR-0047</t>
  </si>
  <si>
    <t>Pigging Study - OML 2</t>
  </si>
  <si>
    <t>MDR-0048</t>
  </si>
  <si>
    <t>Motor Datasheet - OML 2</t>
  </si>
  <si>
    <t>MDR-0049</t>
  </si>
  <si>
    <t>Instrument Datasheet - OML 2</t>
  </si>
  <si>
    <t>MDR-0050</t>
  </si>
  <si>
    <t>Compressor Datasheet</t>
  </si>
  <si>
    <t>MDR-0051</t>
  </si>
  <si>
    <t>MDR-0052</t>
  </si>
  <si>
    <t>Pipeline Design Basis - OML 2</t>
  </si>
  <si>
    <t>MDR-0053</t>
  </si>
  <si>
    <t>Structural GA Drawing - OML 2</t>
  </si>
  <si>
    <t>MDR-0054</t>
  </si>
  <si>
    <t>Loop Diagram - OML 2</t>
  </si>
  <si>
    <t>MDR-0055</t>
  </si>
  <si>
    <t>Piping Stress Report</t>
  </si>
  <si>
    <t>MDR-0056</t>
  </si>
  <si>
    <t>Pigging Study</t>
  </si>
  <si>
    <t>MDR-0057</t>
  </si>
  <si>
    <t>MDR-0058</t>
  </si>
  <si>
    <t>MDR-0059</t>
  </si>
  <si>
    <t>Piping Specification</t>
  </si>
  <si>
    <t>MDR-0060</t>
  </si>
  <si>
    <t>MDR-0061</t>
  </si>
  <si>
    <t>MDR-0062</t>
  </si>
  <si>
    <t>SCADA Architecture Drawing</t>
  </si>
  <si>
    <t>MDR-0063</t>
  </si>
  <si>
    <t>Process Simulation Report</t>
  </si>
  <si>
    <t>MDR-0064</t>
  </si>
  <si>
    <t>MDR-0065</t>
  </si>
  <si>
    <t>Relief &amp; Blowdown Study - OML 10</t>
  </si>
  <si>
    <t>MDR-0066</t>
  </si>
  <si>
    <t>MDR-0067</t>
  </si>
  <si>
    <t>MDR-0068</t>
  </si>
  <si>
    <t>Cause &amp; Effect Diagram</t>
  </si>
  <si>
    <t>MDR-0069</t>
  </si>
  <si>
    <t>Equipment Datasheet</t>
  </si>
  <si>
    <t>MDR-0070</t>
  </si>
  <si>
    <t>MDR-0071</t>
  </si>
  <si>
    <t>Process Flow Diagram - OML 10</t>
  </si>
  <si>
    <t>MDR-0072</t>
  </si>
  <si>
    <t>MDR-0073</t>
  </si>
  <si>
    <t>MDR-0074</t>
  </si>
  <si>
    <t>MDR-0075</t>
  </si>
  <si>
    <t>MDR-0076</t>
  </si>
  <si>
    <t>MDR-0077</t>
  </si>
  <si>
    <t>Motor Datasheet</t>
  </si>
  <si>
    <t>MDR-0078</t>
  </si>
  <si>
    <t>MDR-0079</t>
  </si>
  <si>
    <t>MDR-0080</t>
  </si>
  <si>
    <t>MDR-0081</t>
  </si>
  <si>
    <t>MDR-0082</t>
  </si>
  <si>
    <t>MDR-0083</t>
  </si>
  <si>
    <t>HAZOP Report - OML 1</t>
  </si>
  <si>
    <t>MDR-0084</t>
  </si>
  <si>
    <t>Earthing Layout</t>
  </si>
  <si>
    <t>MDR-0085</t>
  </si>
  <si>
    <t>Motor Datasheet - OML 1</t>
  </si>
  <si>
    <t>MDR-0086</t>
  </si>
  <si>
    <t>Instrument Index - OML 1</t>
  </si>
  <si>
    <t>MDR-0087</t>
  </si>
  <si>
    <t>MDR-0088</t>
  </si>
  <si>
    <t>Control Narrative - OML 1</t>
  </si>
  <si>
    <t>MDR-0089</t>
  </si>
  <si>
    <t>MDR-0090</t>
  </si>
  <si>
    <t>MDR-0091</t>
  </si>
  <si>
    <t>MDR-0092</t>
  </si>
  <si>
    <t>Lifting Plan</t>
  </si>
  <si>
    <t>MDR-0093</t>
  </si>
  <si>
    <t>MDR-0094</t>
  </si>
  <si>
    <t>MDR-0095</t>
  </si>
  <si>
    <t>MDR-0096</t>
  </si>
  <si>
    <t>MDR-0097</t>
  </si>
  <si>
    <t>MDR-0098</t>
  </si>
  <si>
    <t>MDR-0099</t>
  </si>
  <si>
    <t>Piping GA Drawing</t>
  </si>
  <si>
    <t>MDR-0100</t>
  </si>
  <si>
    <t>MDR-0101</t>
  </si>
  <si>
    <t>Process Flow Diagram - Global</t>
  </si>
  <si>
    <t>MDR-0102</t>
  </si>
  <si>
    <t>MDR-0103</t>
  </si>
  <si>
    <t>MDR-0104</t>
  </si>
  <si>
    <t>MDR-0105</t>
  </si>
  <si>
    <t>MDR-0106</t>
  </si>
  <si>
    <t>MDR-0107</t>
  </si>
  <si>
    <t>Steelwork Fabrication Drawing - Global</t>
  </si>
  <si>
    <t>MDR-0108</t>
  </si>
  <si>
    <t>MDR-0109</t>
  </si>
  <si>
    <t>MDR-0110</t>
  </si>
  <si>
    <t>Electrical Design Basis - Global</t>
  </si>
  <si>
    <t>MDR-0111</t>
  </si>
  <si>
    <t>MDR-0112</t>
  </si>
  <si>
    <t>MDR-0113</t>
  </si>
  <si>
    <t>Single Line Diagram - Global</t>
  </si>
  <si>
    <t>MDR-0114</t>
  </si>
  <si>
    <t>MDR-0115</t>
  </si>
  <si>
    <t>HAZOP Report - Global</t>
  </si>
  <si>
    <t>MDR-0116</t>
  </si>
  <si>
    <t>MDR-0117</t>
  </si>
  <si>
    <t>MDR-0118</t>
  </si>
  <si>
    <t>Steelwork Fabrication Drawing</t>
  </si>
  <si>
    <t>MDR-0119</t>
  </si>
  <si>
    <t>MDR-0120</t>
  </si>
  <si>
    <t>P&amp;ID - OML 1</t>
  </si>
  <si>
    <t>MDR-0121</t>
  </si>
  <si>
    <t>Steelwork Fabrication Drawing - OML 1</t>
  </si>
  <si>
    <t>MDR-0122</t>
  </si>
  <si>
    <t>Electrical Design Basis - OML 1</t>
  </si>
  <si>
    <t>MDR-0123</t>
  </si>
  <si>
    <t>Process Flow Diagram - OML 1</t>
  </si>
  <si>
    <t>MDR-0124</t>
  </si>
  <si>
    <t>Structural GA Drawing</t>
  </si>
  <si>
    <t>MDR-0125</t>
  </si>
  <si>
    <t>MDR-0126</t>
  </si>
  <si>
    <t>Cause &amp; Effect Diagram - OML 1</t>
  </si>
  <si>
    <t>MDR-0127</t>
  </si>
  <si>
    <t>MDR-0128</t>
  </si>
  <si>
    <t>Heat &amp; Material Balance - OML 1</t>
  </si>
  <si>
    <t>MDR-0129</t>
  </si>
  <si>
    <t>MDR-0130</t>
  </si>
  <si>
    <t>MDR-0131</t>
  </si>
  <si>
    <t>MDR-0132</t>
  </si>
  <si>
    <t>MDR-0133</t>
  </si>
  <si>
    <t>Mechanical Handling Study - OML 1</t>
  </si>
  <si>
    <t>MDR-0134</t>
  </si>
  <si>
    <t>Pipe Support Register - OML 1</t>
  </si>
  <si>
    <t>MDR-0135</t>
  </si>
  <si>
    <t>MDR-0136</t>
  </si>
  <si>
    <t>MDR-0137</t>
  </si>
  <si>
    <t>MDR-0138</t>
  </si>
  <si>
    <t>MDR-0139</t>
  </si>
  <si>
    <t>MDR-0140</t>
  </si>
  <si>
    <t>MDR-0141</t>
  </si>
  <si>
    <t>MDR-0142</t>
  </si>
  <si>
    <t>MDR-0143</t>
  </si>
  <si>
    <t>MDR-0144</t>
  </si>
  <si>
    <t>MDR-0145</t>
  </si>
  <si>
    <t>MDR-0146</t>
  </si>
  <si>
    <t>MDR-0147</t>
  </si>
  <si>
    <t>MDR-0148</t>
  </si>
  <si>
    <t>MDR-0149</t>
  </si>
  <si>
    <t>MDR-0150</t>
  </si>
  <si>
    <t>MDR-0151</t>
  </si>
  <si>
    <t>Heat &amp; Material Balance</t>
  </si>
  <si>
    <t>MDR-0152</t>
  </si>
  <si>
    <t>MDR-0153</t>
  </si>
  <si>
    <t>MDR-0154</t>
  </si>
  <si>
    <t>MDR-0155</t>
  </si>
  <si>
    <t>MDR-0156</t>
  </si>
  <si>
    <t>Process Datasheet</t>
  </si>
  <si>
    <t>MDR-0157</t>
  </si>
  <si>
    <t>MDR-0158</t>
  </si>
  <si>
    <t>MDR-0159</t>
  </si>
  <si>
    <t>MDR-0160</t>
  </si>
  <si>
    <t>MDR-0161</t>
  </si>
  <si>
    <t>MDR-0162</t>
  </si>
  <si>
    <t>MDR-0163</t>
  </si>
  <si>
    <t>MDR-0164</t>
  </si>
  <si>
    <t>MDR-0165</t>
  </si>
  <si>
    <t>HAZOP Report</t>
  </si>
  <si>
    <t>MDR-0166</t>
  </si>
  <si>
    <t>Geotechnical Report</t>
  </si>
  <si>
    <t>MDR-0167</t>
  </si>
  <si>
    <t>Piping Specification - OML 4</t>
  </si>
  <si>
    <t>MDR-0168</t>
  </si>
  <si>
    <t>MDR-0169</t>
  </si>
  <si>
    <t>Pipeline Route Survey</t>
  </si>
  <si>
    <t>MDR-0170</t>
  </si>
  <si>
    <t>MDR-0171</t>
  </si>
  <si>
    <t>Equipment Datasheet - OML 4</t>
  </si>
  <si>
    <t>MDR-0172</t>
  </si>
  <si>
    <t>MDR-0173</t>
  </si>
  <si>
    <t>Heat &amp; Material Balance - OML 4</t>
  </si>
  <si>
    <t>MDR-0174</t>
  </si>
  <si>
    <t>MDR-0175</t>
  </si>
  <si>
    <t>MDR-0176</t>
  </si>
  <si>
    <t>Instrument Datasheet - OML 4</t>
  </si>
  <si>
    <t>MDR-0177</t>
  </si>
  <si>
    <t>MDR-0178</t>
  </si>
  <si>
    <t>MDR-0179</t>
  </si>
  <si>
    <t>MDR-0180</t>
  </si>
  <si>
    <t>MDR-0181</t>
  </si>
  <si>
    <t>MDR-0182</t>
  </si>
  <si>
    <t>Control Narrative - OML 5</t>
  </si>
  <si>
    <t>MDR-0183</t>
  </si>
  <si>
    <t>MDR-0184</t>
  </si>
  <si>
    <t>MDR-0185</t>
  </si>
  <si>
    <t>MDR-0186</t>
  </si>
  <si>
    <t>MDR-0187</t>
  </si>
  <si>
    <t>Single Line Diagram - OML 5</t>
  </si>
  <si>
    <t>MDR-0188</t>
  </si>
  <si>
    <t>MDR-0189</t>
  </si>
  <si>
    <t>MDR-0190</t>
  </si>
  <si>
    <t>MDR-0191</t>
  </si>
  <si>
    <t>Motor Datasheet - OML 5</t>
  </si>
  <si>
    <t>MDR-0192</t>
  </si>
  <si>
    <t>Pipeline Crossing Design - OML 5</t>
  </si>
  <si>
    <t>MDR-0193</t>
  </si>
  <si>
    <t>Instrument Datasheet - OML 5</t>
  </si>
  <si>
    <t>MDR-0194</t>
  </si>
  <si>
    <t>MDR-0195</t>
  </si>
  <si>
    <t>Piping Specification - OML 7</t>
  </si>
  <si>
    <t>MDR-0196</t>
  </si>
  <si>
    <t>Pipeline Crossing Design - OML 7</t>
  </si>
  <si>
    <t>MDR-0197</t>
  </si>
  <si>
    <t>MDR-0198</t>
  </si>
  <si>
    <t>MDR-0199</t>
  </si>
  <si>
    <t>MDR-0200</t>
  </si>
  <si>
    <t>Rotating Equipment Spec - OML 7</t>
  </si>
  <si>
    <t>MDR-0201</t>
  </si>
  <si>
    <t>Geotechnical Report - OML 7</t>
  </si>
  <si>
    <t>MDR-0202</t>
  </si>
  <si>
    <t>Pigging Study - OML 10</t>
  </si>
  <si>
    <t>MDR-0203</t>
  </si>
  <si>
    <t>Mechanical Handling Study - OML 10</t>
  </si>
  <si>
    <t>MDR-0204</t>
  </si>
  <si>
    <t>MDR-0205</t>
  </si>
  <si>
    <t>MDR-0206</t>
  </si>
  <si>
    <t>Heat &amp; Material Balance - OML 10</t>
  </si>
  <si>
    <t>MDR-0207</t>
  </si>
  <si>
    <t>MDR-0208</t>
  </si>
  <si>
    <t>MDR-0209</t>
  </si>
  <si>
    <t>MDR-0210</t>
  </si>
  <si>
    <t>MDR-0211</t>
  </si>
  <si>
    <t>MDR-0212</t>
  </si>
  <si>
    <t>Pipeline Design Basis - OML 10</t>
  </si>
  <si>
    <t>MDR-0213</t>
  </si>
  <si>
    <t>MDR-0214</t>
  </si>
  <si>
    <t>MDR-0215</t>
  </si>
  <si>
    <t>MDR-0216</t>
  </si>
  <si>
    <t>MDR-0217</t>
  </si>
  <si>
    <t>MDR-0218</t>
  </si>
  <si>
    <t>MDR-0219</t>
  </si>
  <si>
    <t>MDR-0220</t>
  </si>
  <si>
    <t>MDR-0221</t>
  </si>
  <si>
    <t>MDR-0222</t>
  </si>
  <si>
    <t>MDR-0223</t>
  </si>
  <si>
    <t>MDR-0224</t>
  </si>
  <si>
    <t>Cause &amp; Effect Diagram - Global</t>
  </si>
  <si>
    <t>MDR-0225</t>
  </si>
  <si>
    <t>MDR-0226</t>
  </si>
  <si>
    <t>MDR-0227</t>
  </si>
  <si>
    <t>Material Take-Off - Global</t>
  </si>
  <si>
    <t>MDR-0228</t>
  </si>
  <si>
    <t>MDR-0229</t>
  </si>
  <si>
    <t>Pigging Study - OML 1</t>
  </si>
  <si>
    <t>MDR-0230</t>
  </si>
  <si>
    <t>MDR-0231</t>
  </si>
  <si>
    <t>MDR-0232</t>
  </si>
  <si>
    <t>MDR-0233</t>
  </si>
  <si>
    <t>MDR-0234</t>
  </si>
  <si>
    <t>MDR-0235</t>
  </si>
  <si>
    <t>MDR-0236</t>
  </si>
  <si>
    <t>MDR-0237</t>
  </si>
  <si>
    <t>Loop Diagram - OML 1</t>
  </si>
  <si>
    <t>MDR-0238</t>
  </si>
  <si>
    <t>Equipment Datasheet - OML 1</t>
  </si>
  <si>
    <t>MDR-0239</t>
  </si>
  <si>
    <t>MDR-0240</t>
  </si>
  <si>
    <t>MDR-0241</t>
  </si>
  <si>
    <t>MDR-0242</t>
  </si>
  <si>
    <t>Line List - OML 1</t>
  </si>
  <si>
    <t>MDR-0243</t>
  </si>
  <si>
    <t>Vessel Mechanical Design - OML 1</t>
  </si>
  <si>
    <t>MDR-0244</t>
  </si>
  <si>
    <t>MDR-0245</t>
  </si>
  <si>
    <t>MDR-0246</t>
  </si>
  <si>
    <t>Instrument Datasheet - OML 1</t>
  </si>
  <si>
    <t>MDR-0247</t>
  </si>
  <si>
    <t>MDR-0248</t>
  </si>
  <si>
    <t>Process Design Basis - OML 1</t>
  </si>
  <si>
    <t>MDR-0249</t>
  </si>
  <si>
    <t>MDR-0250</t>
  </si>
  <si>
    <t>MDR-0251</t>
  </si>
  <si>
    <t>MDR-0252</t>
  </si>
  <si>
    <t>Control Narrative - OML 2</t>
  </si>
  <si>
    <t>MDR-0253</t>
  </si>
  <si>
    <t>MDR-0254</t>
  </si>
  <si>
    <t>MDR-0255</t>
  </si>
  <si>
    <t>MDR-0256</t>
  </si>
  <si>
    <t>MDR-0257</t>
  </si>
  <si>
    <t>MDR-0258</t>
  </si>
  <si>
    <t>MDR-0259</t>
  </si>
  <si>
    <t>Piping GA Drawing - OML 2</t>
  </si>
  <si>
    <t>MDR-0260</t>
  </si>
  <si>
    <t>MDR-0261</t>
  </si>
  <si>
    <t>Rotating Equipment Spec - OML 2</t>
  </si>
  <si>
    <t>MDR-0262</t>
  </si>
  <si>
    <t>Pipe Support Register - OML 2</t>
  </si>
  <si>
    <t>MDR-0263</t>
  </si>
  <si>
    <t>MDR-0264</t>
  </si>
  <si>
    <t>MDR-0265</t>
  </si>
  <si>
    <t>MDR-0266</t>
  </si>
  <si>
    <t>MDR-0267</t>
  </si>
  <si>
    <t>Pigging Study - OML 4</t>
  </si>
  <si>
    <t>MDR-0268</t>
  </si>
  <si>
    <t>MDR-0269</t>
  </si>
  <si>
    <t>MDR-0270</t>
  </si>
  <si>
    <t>MDR-0271</t>
  </si>
  <si>
    <t>Electrical Design Basis - OML 4</t>
  </si>
  <si>
    <t>MDR-0272</t>
  </si>
  <si>
    <t>Process Simulation Report - OML 4</t>
  </si>
  <si>
    <t>MDR-0273</t>
  </si>
  <si>
    <t>MDR-0274</t>
  </si>
  <si>
    <t>MDR-0275</t>
  </si>
  <si>
    <t>MDR-0276</t>
  </si>
  <si>
    <t>Steelwork Fabrication Drawing - OML 4</t>
  </si>
  <si>
    <t>MDR-0277</t>
  </si>
  <si>
    <t>MDR-0278</t>
  </si>
  <si>
    <t>MDR-0279</t>
  </si>
  <si>
    <t>Load List - OML 4</t>
  </si>
  <si>
    <t>MDR-0280</t>
  </si>
  <si>
    <t>MDR-0281</t>
  </si>
  <si>
    <t>MDR-0282</t>
  </si>
  <si>
    <t>MDR-0283</t>
  </si>
  <si>
    <t>MDR-0284</t>
  </si>
  <si>
    <t>MDR-0285</t>
  </si>
  <si>
    <t>Pipeline Route Survey - OML 4</t>
  </si>
  <si>
    <t>MDR-0286</t>
  </si>
  <si>
    <t>MDR-0287</t>
  </si>
  <si>
    <t>Process Flow Diagram - OML 4</t>
  </si>
  <si>
    <t>MDR-0288</t>
  </si>
  <si>
    <t>MDR-0289</t>
  </si>
  <si>
    <t>MDR-0290</t>
  </si>
  <si>
    <t>Electrical Design Basis - OML 5</t>
  </si>
  <si>
    <t>MDR-0291</t>
  </si>
  <si>
    <t>MDR-0292</t>
  </si>
  <si>
    <t>MDR-0293</t>
  </si>
  <si>
    <t>Process Simulation Report - OML 5</t>
  </si>
  <si>
    <t>MDR-0294</t>
  </si>
  <si>
    <t>MDR-0295</t>
  </si>
  <si>
    <t>Loop Diagram - OML 5</t>
  </si>
  <si>
    <t>MDR-0296</t>
  </si>
  <si>
    <t>MDR-0297</t>
  </si>
  <si>
    <t>Corrosion Assessment Report - OML 5</t>
  </si>
  <si>
    <t>MDR-0298</t>
  </si>
  <si>
    <t>MDR-0299</t>
  </si>
  <si>
    <t>MDR-0300</t>
  </si>
  <si>
    <t>MDR-0301</t>
  </si>
  <si>
    <t>MDR-0302</t>
  </si>
  <si>
    <t>MDR-0303</t>
  </si>
  <si>
    <t>Process Design Basis - OML 5</t>
  </si>
  <si>
    <t>MDR-0304</t>
  </si>
  <si>
    <t>MDR-0305</t>
  </si>
  <si>
    <t>MDR-0306</t>
  </si>
  <si>
    <t>MDR-0307</t>
  </si>
  <si>
    <t>Relief &amp; Blowdown Study - OML 5</t>
  </si>
  <si>
    <t>MDR-0308</t>
  </si>
  <si>
    <t>MDR-0309</t>
  </si>
  <si>
    <t>MDR-0310</t>
  </si>
  <si>
    <t>MDR-0311</t>
  </si>
  <si>
    <t>MDR-0312</t>
  </si>
  <si>
    <t>MDR-0313</t>
  </si>
  <si>
    <t>MDR-0314</t>
  </si>
  <si>
    <t>MDR-0315</t>
  </si>
  <si>
    <t>MDR-0316</t>
  </si>
  <si>
    <t>MDR-0317</t>
  </si>
  <si>
    <t>MDR-0318</t>
  </si>
  <si>
    <t>Cable Schedule - OML 6</t>
  </si>
  <si>
    <t>MDR-0319</t>
  </si>
  <si>
    <t>MDR-0320</t>
  </si>
  <si>
    <t>MDR-0321</t>
  </si>
  <si>
    <t>Lifting Plan - OML 6</t>
  </si>
  <si>
    <t>MDR-0322</t>
  </si>
  <si>
    <t>MDR-0323</t>
  </si>
  <si>
    <t>Instrument Datasheet - OML 6</t>
  </si>
  <si>
    <t>MDR-0324</t>
  </si>
  <si>
    <t>MDR-0325</t>
  </si>
  <si>
    <t>Rotating Equipment Spec - OML 8</t>
  </si>
  <si>
    <t>MDR-0326</t>
  </si>
  <si>
    <t>MDR-0327</t>
  </si>
  <si>
    <t>Tie-in Schedule - OML 8</t>
  </si>
  <si>
    <t>MDR-0328</t>
  </si>
  <si>
    <t>MDR-0329</t>
  </si>
  <si>
    <t>MDR-0330</t>
  </si>
  <si>
    <t>MDR-0331</t>
  </si>
  <si>
    <t>Pipe Support Register - OML 8</t>
  </si>
  <si>
    <t>MDR-0332</t>
  </si>
  <si>
    <t>MDR-0333</t>
  </si>
  <si>
    <t>MDR-0334</t>
  </si>
  <si>
    <t>MDR-0335</t>
  </si>
  <si>
    <t>MDR-0336</t>
  </si>
  <si>
    <t>MDR-0337</t>
  </si>
  <si>
    <t>Loop Diagram - OML 8</t>
  </si>
  <si>
    <t>MDR-0338</t>
  </si>
  <si>
    <t>MDR-0339</t>
  </si>
  <si>
    <t>MDR-0340</t>
  </si>
  <si>
    <t>MDR-0341</t>
  </si>
  <si>
    <t>MDR-0342</t>
  </si>
  <si>
    <t>Instrument Datasheet - OML 8</t>
  </si>
  <si>
    <t>MDR-0343</t>
  </si>
  <si>
    <t>MDR-0344</t>
  </si>
  <si>
    <t>MDR-0345</t>
  </si>
  <si>
    <t>Lifting Plan - Global</t>
  </si>
  <si>
    <t>MDR-0346</t>
  </si>
  <si>
    <t>Compressor Datasheet - Global</t>
  </si>
  <si>
    <t>MDR-0347</t>
  </si>
  <si>
    <t>Instrument Index - Global</t>
  </si>
  <si>
    <t>MDR-0348</t>
  </si>
  <si>
    <t>MDR-0349</t>
  </si>
  <si>
    <t>Line List - Global</t>
  </si>
  <si>
    <t>MDR-0350</t>
  </si>
  <si>
    <t>MDR-0351</t>
  </si>
  <si>
    <t>MDR-0352</t>
  </si>
  <si>
    <t>MDR-0353</t>
  </si>
  <si>
    <t>Mechanical Handling Study - Global</t>
  </si>
  <si>
    <t>MDR-0354</t>
  </si>
  <si>
    <t>MDR-0355</t>
  </si>
  <si>
    <t>MDR-0356</t>
  </si>
  <si>
    <t>MDR-0357</t>
  </si>
  <si>
    <t>MDR-0358</t>
  </si>
  <si>
    <t>MDR-0359</t>
  </si>
  <si>
    <t>Process Simulation Report - Global</t>
  </si>
  <si>
    <t>MDR-0360</t>
  </si>
  <si>
    <t>MDR-0361</t>
  </si>
  <si>
    <t>MDR-0362</t>
  </si>
  <si>
    <t>MDR-0363</t>
  </si>
  <si>
    <t>MDR-0364</t>
  </si>
  <si>
    <t>Tie-in Schedule - Global</t>
  </si>
  <si>
    <t>MDR-0365</t>
  </si>
  <si>
    <t>MDR-0366</t>
  </si>
  <si>
    <t>MDR-0367</t>
  </si>
  <si>
    <t>MDR-0368</t>
  </si>
  <si>
    <t>MDR-0369</t>
  </si>
  <si>
    <t>MDR-0370</t>
  </si>
  <si>
    <t>MDR-0371</t>
  </si>
  <si>
    <t>MDR-0372</t>
  </si>
  <si>
    <t>MDR-0373</t>
  </si>
  <si>
    <t>MDR-0374</t>
  </si>
  <si>
    <t>MDR-0375</t>
  </si>
  <si>
    <t>Process Simulation Report - OML 1</t>
  </si>
  <si>
    <t>MDR-0376</t>
  </si>
  <si>
    <t>MDR-0377</t>
  </si>
  <si>
    <t>Lifting Plan - OML 1</t>
  </si>
  <si>
    <t>MDR-0378</t>
  </si>
  <si>
    <t>MDR-0379</t>
  </si>
  <si>
    <t>Piping GA Drawing - OML 1</t>
  </si>
  <si>
    <t>MDR-0380</t>
  </si>
  <si>
    <t>Relief &amp; Blowdown Study - OML 1</t>
  </si>
  <si>
    <t>MDR-0381</t>
  </si>
  <si>
    <t>MDR-0382</t>
  </si>
  <si>
    <t>MDR-0383</t>
  </si>
  <si>
    <t>MDR-0384</t>
  </si>
  <si>
    <t>MDR-0385</t>
  </si>
  <si>
    <t>MDR-0386</t>
  </si>
  <si>
    <t>MDR-0387</t>
  </si>
  <si>
    <t>MDR-0388</t>
  </si>
  <si>
    <t>MDR-0389</t>
  </si>
  <si>
    <t>HAZOP Report - OML 4</t>
  </si>
  <si>
    <t>MDR-0390</t>
  </si>
  <si>
    <t>MDR-0391</t>
  </si>
  <si>
    <t>MDR-0392</t>
  </si>
  <si>
    <t>MDR-0393</t>
  </si>
  <si>
    <t>MDR-0394</t>
  </si>
  <si>
    <t>MDR-0395</t>
  </si>
  <si>
    <t>MDR-0396</t>
  </si>
  <si>
    <t>MDR-0397</t>
  </si>
  <si>
    <t>MDR-0398</t>
  </si>
  <si>
    <t>MDR-0399</t>
  </si>
  <si>
    <t>MDR-0400</t>
  </si>
  <si>
    <t>Instrument Index - OML 4</t>
  </si>
  <si>
    <t>MDR-0401</t>
  </si>
  <si>
    <t>MDR-0402</t>
  </si>
  <si>
    <t>MDR-0403</t>
  </si>
  <si>
    <t>MDR-0404</t>
  </si>
  <si>
    <t>MDR-0405</t>
  </si>
  <si>
    <t>Pump Datasheet - OML 4</t>
  </si>
  <si>
    <t>MDR-0406</t>
  </si>
  <si>
    <t>MDR-0407</t>
  </si>
  <si>
    <t>MDR-0408</t>
  </si>
  <si>
    <t>Foundation Design Report - OML 4</t>
  </si>
  <si>
    <t>MDR-0409</t>
  </si>
  <si>
    <t>Tie-in Schedule - OML 4</t>
  </si>
  <si>
    <t>MDR-0410</t>
  </si>
  <si>
    <t>MDR-0411</t>
  </si>
  <si>
    <t>MDR-0412</t>
  </si>
  <si>
    <t>MDR-0413</t>
  </si>
  <si>
    <t>MDR-0414</t>
  </si>
  <si>
    <t>MDR-0415</t>
  </si>
  <si>
    <t>MDR-0416</t>
  </si>
  <si>
    <t>MDR-0417</t>
  </si>
  <si>
    <t>MDR-0418</t>
  </si>
  <si>
    <t>MDR-0419</t>
  </si>
  <si>
    <t>MDR-0420</t>
  </si>
  <si>
    <t>MDR-0421</t>
  </si>
  <si>
    <t>MDR-0422</t>
  </si>
  <si>
    <t>MDR-0423</t>
  </si>
  <si>
    <t>MDR-0424</t>
  </si>
  <si>
    <t>MDR-0425</t>
  </si>
  <si>
    <t>MDR-0426</t>
  </si>
  <si>
    <t>MDR-0427</t>
  </si>
  <si>
    <t>MDR-0428</t>
  </si>
  <si>
    <t>MDR-0429</t>
  </si>
  <si>
    <t>MDR-0430</t>
  </si>
  <si>
    <t>MDR-0431</t>
  </si>
  <si>
    <t>MDR-0432</t>
  </si>
  <si>
    <t>MDR-0433</t>
  </si>
  <si>
    <t>MDR-0434</t>
  </si>
  <si>
    <t>MDR-0435</t>
  </si>
  <si>
    <t>MDR-0436</t>
  </si>
  <si>
    <t>Piping Specification - OML 9</t>
  </si>
  <si>
    <t>MDR-0437</t>
  </si>
  <si>
    <t>MDR-0438</t>
  </si>
  <si>
    <t>Lifting Plan - OML 9</t>
  </si>
  <si>
    <t>MDR-0439</t>
  </si>
  <si>
    <t>MDR-0440</t>
  </si>
  <si>
    <t>MDR-0441</t>
  </si>
  <si>
    <t>MDR-0442</t>
  </si>
  <si>
    <t>P&amp;ID - OML 9</t>
  </si>
  <si>
    <t>MDR-0443</t>
  </si>
  <si>
    <t>MDR-0444</t>
  </si>
  <si>
    <t>MDR-0445</t>
  </si>
  <si>
    <t>MDR-0446</t>
  </si>
  <si>
    <t>Instrument Datasheet - OML 9</t>
  </si>
  <si>
    <t>MDR-0447</t>
  </si>
  <si>
    <t>Process Simulation Report - OML 9</t>
  </si>
  <si>
    <t>MDR-0448</t>
  </si>
  <si>
    <t>MDR-0449</t>
  </si>
  <si>
    <t>MDR-0450</t>
  </si>
  <si>
    <t>MDR-0451</t>
  </si>
  <si>
    <t>MDR-0452</t>
  </si>
  <si>
    <t>MDR-0453</t>
  </si>
  <si>
    <t>MDR-0454</t>
  </si>
  <si>
    <t>MDR-0455</t>
  </si>
  <si>
    <t>MDR-0456</t>
  </si>
  <si>
    <t>Single Line Diagram - OML 10</t>
  </si>
  <si>
    <t>MDR-0457</t>
  </si>
  <si>
    <t>MDR-0458</t>
  </si>
  <si>
    <t>Piping Specification - OML 10</t>
  </si>
  <si>
    <t>MDR-0459</t>
  </si>
  <si>
    <t>MDR-0460</t>
  </si>
  <si>
    <t>MDR-0461</t>
  </si>
  <si>
    <t>Line List - OML 10</t>
  </si>
  <si>
    <t>MDR-0462</t>
  </si>
  <si>
    <t>Vessel Mechanical Design - OML 10</t>
  </si>
  <si>
    <t>MDR-0463</t>
  </si>
  <si>
    <t>MDR-0464</t>
  </si>
  <si>
    <t>Steelwork Fabrication Drawing - OML 10</t>
  </si>
  <si>
    <t>MDR-0465</t>
  </si>
  <si>
    <t>MDR-0466</t>
  </si>
  <si>
    <t>MDR-0467</t>
  </si>
  <si>
    <t>MDR-0468</t>
  </si>
  <si>
    <t>MDR-0469</t>
  </si>
  <si>
    <t>HAZOP Report - OML 10</t>
  </si>
  <si>
    <t>MDR-0470</t>
  </si>
  <si>
    <t>MDR-0471</t>
  </si>
  <si>
    <t>MDR-0472</t>
  </si>
  <si>
    <t>MDR-0473</t>
  </si>
  <si>
    <t>MDR-0474</t>
  </si>
  <si>
    <t>MDR-0475</t>
  </si>
  <si>
    <t>MDR-0476</t>
  </si>
  <si>
    <t>MDR-0477</t>
  </si>
  <si>
    <t>Vessel Mechanical Design - OML 7</t>
  </si>
  <si>
    <t>MDR-0478</t>
  </si>
  <si>
    <t>MDR-0479</t>
  </si>
  <si>
    <t>MDR-0480</t>
  </si>
  <si>
    <t>Pipeline Design Basis - OML 7</t>
  </si>
  <si>
    <t>MDR-0481</t>
  </si>
  <si>
    <t>MDR-0482</t>
  </si>
  <si>
    <t>MDR-0483</t>
  </si>
  <si>
    <t>Equipment Datasheet - OML 7</t>
  </si>
  <si>
    <t>MDR-0484</t>
  </si>
  <si>
    <t>Pigging Study - OML 7</t>
  </si>
  <si>
    <t>MDR-0485</t>
  </si>
  <si>
    <t>MDR-0486</t>
  </si>
  <si>
    <t>MDR-0487</t>
  </si>
  <si>
    <t>Loop Diagram - OML 7</t>
  </si>
  <si>
    <t>MDR-0488</t>
  </si>
  <si>
    <t>MDR-0489</t>
  </si>
  <si>
    <t>MDR-0490</t>
  </si>
  <si>
    <t>MDR-0491</t>
  </si>
  <si>
    <t>MDR-0492</t>
  </si>
  <si>
    <t>MDR-0493</t>
  </si>
  <si>
    <t>MDR-0494</t>
  </si>
  <si>
    <t>MDR-0495</t>
  </si>
  <si>
    <t>Cable Schedule - OML 2</t>
  </si>
  <si>
    <t>MDR-0496</t>
  </si>
  <si>
    <t>MDR-0497</t>
  </si>
  <si>
    <t>Process Datasheet - OML 2</t>
  </si>
  <si>
    <t>MDR-0498</t>
  </si>
  <si>
    <t>MDR-0499</t>
  </si>
  <si>
    <t>Vessel Mechanical Design - OML 2</t>
  </si>
  <si>
    <t>MDR-0500</t>
  </si>
  <si>
    <t>MDR-0501</t>
  </si>
  <si>
    <t>MDR-0502</t>
  </si>
  <si>
    <t>MDR-0503</t>
  </si>
  <si>
    <t>MDR-0504</t>
  </si>
  <si>
    <t>MDR-0505</t>
  </si>
  <si>
    <t>MDR-0506</t>
  </si>
  <si>
    <t>MDR-0507</t>
  </si>
  <si>
    <t>MDR-0508</t>
  </si>
  <si>
    <t>MDR-0509</t>
  </si>
  <si>
    <t>MDR-0510</t>
  </si>
  <si>
    <t>Corrosion Assessment Report - OML 2</t>
  </si>
  <si>
    <t>MDR-0511</t>
  </si>
  <si>
    <t>MDR-0512</t>
  </si>
  <si>
    <t>Pipeline Route Survey - OML 10</t>
  </si>
  <si>
    <t>MDR-0513</t>
  </si>
  <si>
    <t>MDR-0514</t>
  </si>
  <si>
    <t>Piping GA Drawing - OML 10</t>
  </si>
  <si>
    <t>MDR-0515</t>
  </si>
  <si>
    <t>MDR-0516</t>
  </si>
  <si>
    <t>Structural Calculation Note</t>
  </si>
  <si>
    <t>MDR-0517</t>
  </si>
  <si>
    <t>MDR-0518</t>
  </si>
  <si>
    <t>MDR-0519</t>
  </si>
  <si>
    <t>MDR-0520</t>
  </si>
  <si>
    <t>MDR-0521</t>
  </si>
  <si>
    <t>MDR-0522</t>
  </si>
  <si>
    <t>MDR-0523</t>
  </si>
  <si>
    <t>MDR-0524</t>
  </si>
  <si>
    <t>MDR-0525</t>
  </si>
  <si>
    <t>MDR-0526</t>
  </si>
  <si>
    <t>MDR-0527</t>
  </si>
  <si>
    <t>MDR-0528</t>
  </si>
  <si>
    <t>Pipe Support Register - Global</t>
  </si>
  <si>
    <t>MDR-0529</t>
  </si>
  <si>
    <t>MDR-0530</t>
  </si>
  <si>
    <t>MDR-0531</t>
  </si>
  <si>
    <t>MDR-0532</t>
  </si>
  <si>
    <t>MDR-0533</t>
  </si>
  <si>
    <t>MDR-0534</t>
  </si>
  <si>
    <t>MDR-0535</t>
  </si>
  <si>
    <t>MDR-0536</t>
  </si>
  <si>
    <t>Piping Isometric - Global</t>
  </si>
  <si>
    <t>MDR-0537</t>
  </si>
  <si>
    <t>MDR-0538</t>
  </si>
  <si>
    <t>MDR-0539</t>
  </si>
  <si>
    <t>MDR-0540</t>
  </si>
  <si>
    <t>MDR-0541</t>
  </si>
  <si>
    <t>MDR-0542</t>
  </si>
  <si>
    <t>MDR-0543</t>
  </si>
  <si>
    <t>MDR-0544</t>
  </si>
  <si>
    <t>MDR-0545</t>
  </si>
  <si>
    <t>MDR-0546</t>
  </si>
  <si>
    <t>MDR-0547</t>
  </si>
  <si>
    <t>Loop Diagram - Global</t>
  </si>
  <si>
    <t>MDR-0548</t>
  </si>
  <si>
    <t>MDR-0549</t>
  </si>
  <si>
    <t>Foundation Design Report - Global</t>
  </si>
  <si>
    <t>MDR-0550</t>
  </si>
  <si>
    <t>MDR-0551</t>
  </si>
  <si>
    <t>MDR-0552</t>
  </si>
  <si>
    <t>MDR-0553</t>
  </si>
  <si>
    <t>MDR-0554</t>
  </si>
  <si>
    <t>MDR-0555</t>
  </si>
  <si>
    <t>MDR-0556</t>
  </si>
  <si>
    <t>MDR-0557</t>
  </si>
  <si>
    <t>MDR-0558</t>
  </si>
  <si>
    <t>MDR-0559</t>
  </si>
  <si>
    <t>MDR-0560</t>
  </si>
  <si>
    <t>MDR-0561</t>
  </si>
  <si>
    <t>MDR-0562</t>
  </si>
  <si>
    <t>RiskID</t>
  </si>
  <si>
    <t>RiskDescription</t>
  </si>
  <si>
    <t>Category</t>
  </si>
  <si>
    <t>Likelihood</t>
  </si>
  <si>
    <t>Impact</t>
  </si>
  <si>
    <t>Score</t>
  </si>
  <si>
    <t>RiskLevel</t>
  </si>
  <si>
    <t>Owner</t>
  </si>
  <si>
    <t>MitigationAction</t>
  </si>
  <si>
    <t>Status</t>
  </si>
  <si>
    <t>RaisedDate</t>
  </si>
  <si>
    <t>TargetCloseDate</t>
  </si>
  <si>
    <t>RSK-001</t>
  </si>
  <si>
    <t>Electrical engineering capacity constrained against concurrent project demand</t>
  </si>
  <si>
    <t>Eng. Manager</t>
  </si>
  <si>
    <t>Rebalance workload</t>
  </si>
  <si>
    <t>Open</t>
  </si>
  <si>
    <t>RSK-002</t>
  </si>
  <si>
    <t>Long-lead compressor vendor data delayed against design programme</t>
  </si>
  <si>
    <t>Schedule / Cost</t>
  </si>
  <si>
    <t>Mechanical Lead</t>
  </si>
  <si>
    <t>Expedite vendor</t>
  </si>
  <si>
    <t>RSK-003</t>
  </si>
  <si>
    <t>Brownfield access window constrained by production shutdown schedule</t>
  </si>
  <si>
    <t>Execution Lead</t>
  </si>
  <si>
    <t>Confirm shutdown plan</t>
  </si>
  <si>
    <t>RSK-004</t>
  </si>
  <si>
    <t>Contractor productivity below plan</t>
  </si>
  <si>
    <t>Under review by project team</t>
  </si>
  <si>
    <t>RSK-005</t>
  </si>
  <si>
    <t>Site access / permitting delay risk</t>
  </si>
  <si>
    <t>Discipline Lead</t>
  </si>
  <si>
    <t>RSK-006</t>
  </si>
  <si>
    <t>Third-party interface dependency</t>
  </si>
  <si>
    <t>RSK-007</t>
  </si>
  <si>
    <t>Design change from HAZOP / HAZID action</t>
  </si>
  <si>
    <t>RSK-008</t>
  </si>
  <si>
    <t>Interface misalignment between engineering and construction</t>
  </si>
  <si>
    <t>RSK-009</t>
  </si>
  <si>
    <t>Budget contingency erosion risk</t>
  </si>
  <si>
    <t>RSK-010</t>
  </si>
  <si>
    <t>Key resource attrition risk on critical path discipline</t>
  </si>
  <si>
    <t>RSK-011</t>
  </si>
  <si>
    <t>Regulatory approval timeline uncertainty</t>
  </si>
  <si>
    <t>RSK-012</t>
  </si>
  <si>
    <t>RSK-013</t>
  </si>
  <si>
    <t>Scope growth not yet reflected in baseline</t>
  </si>
  <si>
    <t>RSK-014</t>
  </si>
  <si>
    <t>Long-lead equipment delivery risk</t>
  </si>
  <si>
    <t>RSK-015</t>
  </si>
  <si>
    <t>RSK-016</t>
  </si>
  <si>
    <t>RSK-017</t>
  </si>
  <si>
    <t>RSK-018</t>
  </si>
  <si>
    <t>Vendor data quality below required standard</t>
  </si>
  <si>
    <t>RSK-019</t>
  </si>
  <si>
    <t>Weather / seasonal access constraint</t>
  </si>
  <si>
    <t>RSK-020</t>
  </si>
  <si>
    <t>RSK-021</t>
  </si>
  <si>
    <t>RSK-022</t>
  </si>
  <si>
    <t>RSK-023</t>
  </si>
  <si>
    <t>RSK-024</t>
  </si>
  <si>
    <t>RSK-025</t>
  </si>
  <si>
    <t>RSK-026</t>
  </si>
  <si>
    <t>RSK-027</t>
  </si>
  <si>
    <t>RSK-028</t>
  </si>
  <si>
    <t>RSK-029</t>
  </si>
  <si>
    <t>Mitigated and closed out</t>
  </si>
  <si>
    <t>Closed</t>
  </si>
  <si>
    <t>RSK-030</t>
  </si>
  <si>
    <t>RSK-031</t>
  </si>
  <si>
    <t>RSK-032</t>
  </si>
  <si>
    <t>RSK-033</t>
  </si>
  <si>
    <t>RSK-034</t>
  </si>
  <si>
    <t>IssueID</t>
  </si>
  <si>
    <t>IssueDescription</t>
  </si>
  <si>
    <t>Severity</t>
  </si>
  <si>
    <t>ISS-001</t>
  </si>
  <si>
    <t>Field query awaiting engineering response</t>
  </si>
  <si>
    <t>Medium</t>
  </si>
  <si>
    <t>ISS-002</t>
  </si>
  <si>
    <t>Non-conformance report open against fabrication</t>
  </si>
  <si>
    <t>ISS-003</t>
  </si>
  <si>
    <t>As-built discrepancy against design drawing</t>
  </si>
  <si>
    <t>Low</t>
  </si>
  <si>
    <t>ISS-004</t>
  </si>
  <si>
    <t>Vendor document non-conformance</t>
  </si>
  <si>
    <t>ISS-005</t>
  </si>
  <si>
    <t>Design clash identified during 3D model review</t>
  </si>
  <si>
    <t>ISS-006</t>
  </si>
  <si>
    <t>Missing interface data from adjacent project</t>
  </si>
  <si>
    <t>ISS-007</t>
  </si>
  <si>
    <t>ISS-008</t>
  </si>
  <si>
    <t>ISS-009</t>
  </si>
  <si>
    <t>High</t>
  </si>
  <si>
    <t>ISS-010</t>
  </si>
  <si>
    <t>ISS-011</t>
  </si>
  <si>
    <t>ISS-012</t>
  </si>
  <si>
    <t>ISS-013</t>
  </si>
  <si>
    <t>ISS-014</t>
  </si>
  <si>
    <t>ISS-015</t>
  </si>
  <si>
    <t>ISS-016</t>
  </si>
  <si>
    <t>ActionID</t>
  </si>
  <si>
    <t>ActionDescription</t>
  </si>
  <si>
    <t>ACT-001</t>
  </si>
  <si>
    <t>Confirm shutdown access dates with Operations</t>
  </si>
  <si>
    <t>ACT-002</t>
  </si>
  <si>
    <t>Finalise resource rebalancing plan</t>
  </si>
  <si>
    <t>ACT-003</t>
  </si>
  <si>
    <t>Close out HAZOP action item</t>
  </si>
  <si>
    <t>ACT-004</t>
  </si>
  <si>
    <t>Submit revised vendor data request</t>
  </si>
  <si>
    <t>ACT-005</t>
  </si>
  <si>
    <t>ACT-006</t>
  </si>
  <si>
    <t>ACT-007</t>
  </si>
  <si>
    <t>ACT-008</t>
  </si>
  <si>
    <t>ACT-009</t>
  </si>
  <si>
    <t>ACT-010</t>
  </si>
  <si>
    <t>ACT-011</t>
  </si>
  <si>
    <t>ACT-012</t>
  </si>
  <si>
    <t>ACT-013</t>
  </si>
  <si>
    <t>Issue revised P&amp;ID for review</t>
  </si>
  <si>
    <t>ACT-014</t>
  </si>
  <si>
    <t>Update project schedule baseline</t>
  </si>
  <si>
    <t>ACT-015</t>
  </si>
  <si>
    <t>ACT-016</t>
  </si>
  <si>
    <t>ACT-017</t>
  </si>
  <si>
    <t>ACT-018</t>
  </si>
  <si>
    <t>ACT-019</t>
  </si>
  <si>
    <t>Complete interface data exchange</t>
  </si>
  <si>
    <t>ChangeRequestID</t>
  </si>
  <si>
    <t>Description</t>
  </si>
  <si>
    <t>CR-001</t>
  </si>
  <si>
    <t>Extended metering skid scope to include prover loop</t>
  </si>
  <si>
    <t>Approved</t>
  </si>
  <si>
    <t>Scope</t>
  </si>
  <si>
    <t>CR-002</t>
  </si>
  <si>
    <t>Scope reduction following optioneering study</t>
  </si>
  <si>
    <t>Under Review</t>
  </si>
  <si>
    <t>CR-003</t>
  </si>
  <si>
    <t>Additional well slot scope addition</t>
  </si>
  <si>
    <t>CR-004</t>
  </si>
  <si>
    <t>Schedule extension request due to vendor delay</t>
  </si>
  <si>
    <t>Pending Approval</t>
  </si>
  <si>
    <t>CR-005</t>
  </si>
  <si>
    <t>Budget increase request for long-lead items</t>
  </si>
  <si>
    <t>CR-006</t>
  </si>
  <si>
    <t>MilestoneID</t>
  </si>
  <si>
    <t>MilestoneName</t>
  </si>
  <si>
    <t>MilestoneType</t>
  </si>
  <si>
    <t>TargetDate</t>
  </si>
  <si>
    <t>ActualDate</t>
  </si>
  <si>
    <t>MS-001</t>
  </si>
  <si>
    <t>Basis of Design</t>
  </si>
  <si>
    <t>Milestone</t>
  </si>
  <si>
    <t>Done</t>
  </si>
  <si>
    <t>MS-002</t>
  </si>
  <si>
    <t>HAZID Workshop</t>
  </si>
  <si>
    <t>MS-003</t>
  </si>
  <si>
    <t>HAZOP Closeout</t>
  </si>
  <si>
    <t>Next</t>
  </si>
  <si>
    <t>MS-004</t>
  </si>
  <si>
    <t>Define Gate Readiness</t>
  </si>
  <si>
    <t>Gate</t>
  </si>
  <si>
    <t>At Risk</t>
  </si>
  <si>
    <t>MS-005</t>
  </si>
  <si>
    <t>Mechanical Design Complete</t>
  </si>
  <si>
    <t>In Progress</t>
  </si>
  <si>
    <t>MS-006</t>
  </si>
  <si>
    <t>Define Gate Approval</t>
  </si>
  <si>
    <t>Upcoming</t>
  </si>
  <si>
    <t>MS-007</t>
  </si>
  <si>
    <t>Implementation Start</t>
  </si>
  <si>
    <t>On Track</t>
  </si>
  <si>
    <t>MS-008</t>
  </si>
  <si>
    <t>Shutdown Window Confirmed</t>
  </si>
  <si>
    <t>MS-009</t>
  </si>
  <si>
    <t>Execute Gate Approval</t>
  </si>
  <si>
    <t>MS-010</t>
  </si>
  <si>
    <t>Concept Options Workshop</t>
  </si>
  <si>
    <t>MS-011</t>
  </si>
  <si>
    <t>Assess Gate Review</t>
  </si>
  <si>
    <t>MS-012</t>
  </si>
  <si>
    <t>MS-013</t>
  </si>
  <si>
    <t>MS-014</t>
  </si>
  <si>
    <t>MS-015</t>
  </si>
  <si>
    <t>MS-016</t>
  </si>
  <si>
    <t>Detailed Design Complete</t>
  </si>
  <si>
    <t>MS-017</t>
  </si>
  <si>
    <t>Procurement Complete</t>
  </si>
  <si>
    <t>MS-018</t>
  </si>
  <si>
    <t>Construction Complete</t>
  </si>
  <si>
    <t>MS-019</t>
  </si>
  <si>
    <t>MS-020</t>
  </si>
  <si>
    <t>MS-021</t>
  </si>
  <si>
    <t>MS-022</t>
  </si>
  <si>
    <t>MDR Closeout</t>
  </si>
  <si>
    <t>MS-023</t>
  </si>
  <si>
    <t>Lessons Learned Workshop</t>
  </si>
  <si>
    <t>MS-024</t>
  </si>
  <si>
    <t>Archive Sign-off</t>
  </si>
  <si>
    <t>MS-025</t>
  </si>
  <si>
    <t>MS-026</t>
  </si>
  <si>
    <t>MS-027</t>
  </si>
  <si>
    <t>MS-028</t>
  </si>
  <si>
    <t>MS-029</t>
  </si>
  <si>
    <t>MS-030</t>
  </si>
  <si>
    <t>MS-031</t>
  </si>
  <si>
    <t>MS-032</t>
  </si>
  <si>
    <t>Select Gate Review</t>
  </si>
  <si>
    <t>MS-033</t>
  </si>
  <si>
    <t>Preferred Concept Sign-off</t>
  </si>
  <si>
    <t>MS-034</t>
  </si>
  <si>
    <t>Identify Gate Review</t>
  </si>
  <si>
    <t>MS-035</t>
  </si>
  <si>
    <t>MS-036</t>
  </si>
  <si>
    <t>MS-037</t>
  </si>
  <si>
    <t>MS-038</t>
  </si>
  <si>
    <t>MS-039</t>
  </si>
  <si>
    <t>MS-040</t>
  </si>
  <si>
    <t>MS-041</t>
  </si>
  <si>
    <t>MS-042</t>
  </si>
  <si>
    <t>MS-043</t>
  </si>
  <si>
    <t>MS-044</t>
  </si>
  <si>
    <t>MS-045</t>
  </si>
  <si>
    <t>MS-046</t>
  </si>
  <si>
    <t>MS-047</t>
  </si>
  <si>
    <t>MS-048</t>
  </si>
  <si>
    <t>MS-049</t>
  </si>
  <si>
    <t>MS-050</t>
  </si>
  <si>
    <t>MS-051</t>
  </si>
  <si>
    <t>MS-052</t>
  </si>
  <si>
    <t>MS-053</t>
  </si>
  <si>
    <t>MS-054</t>
  </si>
  <si>
    <t>MS-055</t>
  </si>
  <si>
    <t>MS-056</t>
  </si>
  <si>
    <t>MS-057</t>
  </si>
  <si>
    <t>MS-058</t>
  </si>
  <si>
    <t>MS-059</t>
  </si>
  <si>
    <t>MS-060</t>
  </si>
  <si>
    <t>MS-061</t>
  </si>
  <si>
    <t>MS-062</t>
  </si>
  <si>
    <t>MS-063</t>
  </si>
  <si>
    <t>MS-064</t>
  </si>
  <si>
    <t>MS-065</t>
  </si>
  <si>
    <t>MS-066</t>
  </si>
  <si>
    <t>MS-067</t>
  </si>
  <si>
    <t>MS-068</t>
  </si>
  <si>
    <t>MS-069</t>
  </si>
  <si>
    <t>MS-070</t>
  </si>
  <si>
    <t>MS-071</t>
  </si>
  <si>
    <t>MS-072</t>
  </si>
  <si>
    <t>MS-073</t>
  </si>
  <si>
    <t>MS-074</t>
  </si>
  <si>
    <t>MS-075</t>
  </si>
  <si>
    <t>MS-076</t>
  </si>
  <si>
    <t>MS-077</t>
  </si>
  <si>
    <t>MS-078</t>
  </si>
  <si>
    <t>MS-079</t>
  </si>
  <si>
    <t>MS-080</t>
  </si>
  <si>
    <t>MS-081</t>
  </si>
  <si>
    <t>MS-082</t>
  </si>
  <si>
    <t>MS-083</t>
  </si>
  <si>
    <t>MS-084</t>
  </si>
  <si>
    <t>MS-085</t>
  </si>
  <si>
    <t>MS-086</t>
  </si>
  <si>
    <t>MS-087</t>
  </si>
  <si>
    <t>MS-088</t>
  </si>
  <si>
    <t>MS-089</t>
  </si>
  <si>
    <t>MS-090</t>
  </si>
  <si>
    <t>MS-091</t>
  </si>
  <si>
    <t>MS-092</t>
  </si>
  <si>
    <t>MS-093</t>
  </si>
  <si>
    <t>MS-094</t>
  </si>
  <si>
    <t>MS-095</t>
  </si>
  <si>
    <t>MS-096</t>
  </si>
  <si>
    <t>MS-097</t>
  </si>
  <si>
    <t>MS-098</t>
  </si>
  <si>
    <t>MS-099</t>
  </si>
  <si>
    <t>MS-100</t>
  </si>
  <si>
    <t>MS-101</t>
  </si>
  <si>
    <t>ActivityID</t>
  </si>
  <si>
    <t>ActivityName</t>
  </si>
  <si>
    <t>EndDate</t>
  </si>
  <si>
    <t>PctComplete</t>
  </si>
  <si>
    <t>GNT-001</t>
  </si>
  <si>
    <t>Process Design</t>
  </si>
  <si>
    <t>GNT-002</t>
  </si>
  <si>
    <t>Mechanical Design</t>
  </si>
  <si>
    <t>GNT-003</t>
  </si>
  <si>
    <t>Piping Design</t>
  </si>
  <si>
    <t>GNT-004</t>
  </si>
  <si>
    <t>E&amp;I Design</t>
  </si>
  <si>
    <t>GNT-005</t>
  </si>
  <si>
    <t>Define Gate</t>
  </si>
  <si>
    <t>GNT-006</t>
  </si>
  <si>
    <t>Detailed Design</t>
  </si>
  <si>
    <t>GNT-007</t>
  </si>
  <si>
    <t>Procurement</t>
  </si>
  <si>
    <t>GNT-008</t>
  </si>
  <si>
    <t>GNT-009</t>
  </si>
  <si>
    <t>Commissioning</t>
  </si>
  <si>
    <t>GNT-010</t>
  </si>
  <si>
    <t>Execute Gate</t>
  </si>
  <si>
    <t>GNT-011</t>
  </si>
  <si>
    <t>Concept Study</t>
  </si>
  <si>
    <t>GNT-012</t>
  </si>
  <si>
    <t>Options Assessment</t>
  </si>
  <si>
    <t>GNT-013</t>
  </si>
  <si>
    <t>Assess Gate</t>
  </si>
  <si>
    <t>GNT-014</t>
  </si>
  <si>
    <t>GNT-015</t>
  </si>
  <si>
    <t>GNT-016</t>
  </si>
  <si>
    <t>GNT-017</t>
  </si>
  <si>
    <t>GNT-018</t>
  </si>
  <si>
    <t>GNT-019</t>
  </si>
  <si>
    <t>GNT-020</t>
  </si>
  <si>
    <t>GNT-021</t>
  </si>
  <si>
    <t>GNT-022</t>
  </si>
  <si>
    <t>GNT-023</t>
  </si>
  <si>
    <t>GNT-024</t>
  </si>
  <si>
    <t>GNT-025</t>
  </si>
  <si>
    <t>GNT-026</t>
  </si>
  <si>
    <t>GNT-027</t>
  </si>
  <si>
    <t>GNT-028</t>
  </si>
  <si>
    <t>GNT-029</t>
  </si>
  <si>
    <t>GNT-030</t>
  </si>
  <si>
    <t>GNT-031</t>
  </si>
  <si>
    <t>GNT-032</t>
  </si>
  <si>
    <t>GNT-033</t>
  </si>
  <si>
    <t>Concept Selection</t>
  </si>
  <si>
    <t>GNT-034</t>
  </si>
  <si>
    <t>Select Gate</t>
  </si>
  <si>
    <t>GNT-035</t>
  </si>
  <si>
    <t>Opportunity Framing</t>
  </si>
  <si>
    <t>GNT-036</t>
  </si>
  <si>
    <t>Identify Gate</t>
  </si>
  <si>
    <t>GNT-037</t>
  </si>
  <si>
    <t>GNT-038</t>
  </si>
  <si>
    <t>GNT-039</t>
  </si>
  <si>
    <t>GNT-040</t>
  </si>
  <si>
    <t>GNT-041</t>
  </si>
  <si>
    <t>GNT-042</t>
  </si>
  <si>
    <t>GNT-043</t>
  </si>
  <si>
    <t>GNT-044</t>
  </si>
  <si>
    <t>GNT-045</t>
  </si>
  <si>
    <t>GNT-046</t>
  </si>
  <si>
    <t>GNT-047</t>
  </si>
  <si>
    <t>GNT-048</t>
  </si>
  <si>
    <t>GNT-049</t>
  </si>
  <si>
    <t>GNT-050</t>
  </si>
  <si>
    <t>GNT-051</t>
  </si>
  <si>
    <t>GNT-052</t>
  </si>
  <si>
    <t>GNT-053</t>
  </si>
  <si>
    <t>GNT-054</t>
  </si>
  <si>
    <t>GNT-055</t>
  </si>
  <si>
    <t>GNT-056</t>
  </si>
  <si>
    <t>GNT-057</t>
  </si>
  <si>
    <t>GNT-058</t>
  </si>
  <si>
    <t>GNT-059</t>
  </si>
  <si>
    <t>GNT-060</t>
  </si>
  <si>
    <t>GNT-061</t>
  </si>
  <si>
    <t>GNT-062</t>
  </si>
  <si>
    <t>GNT-063</t>
  </si>
  <si>
    <t>GNT-064</t>
  </si>
  <si>
    <t>GNT-065</t>
  </si>
  <si>
    <t>GNT-066</t>
  </si>
  <si>
    <t>GNT-067</t>
  </si>
  <si>
    <t>GNT-068</t>
  </si>
  <si>
    <t>GNT-069</t>
  </si>
  <si>
    <t>GNT-070</t>
  </si>
  <si>
    <t>GNT-071</t>
  </si>
  <si>
    <t>GNT-072</t>
  </si>
  <si>
    <t>GNT-073</t>
  </si>
  <si>
    <t>GNT-074</t>
  </si>
  <si>
    <t>GNT-075</t>
  </si>
  <si>
    <t>GNT-076</t>
  </si>
  <si>
    <t>GNT-077</t>
  </si>
  <si>
    <t>GNT-078</t>
  </si>
  <si>
    <t>GNT-079</t>
  </si>
  <si>
    <t>GNT-080</t>
  </si>
  <si>
    <t>GNT-081</t>
  </si>
  <si>
    <t>GNT-082</t>
  </si>
  <si>
    <t>GNT-083</t>
  </si>
  <si>
    <t>GNT-084</t>
  </si>
  <si>
    <t>GNT-085</t>
  </si>
  <si>
    <t>GNT-086</t>
  </si>
  <si>
    <t>GNT-087</t>
  </si>
  <si>
    <t>GNT-088</t>
  </si>
  <si>
    <t>GNT-089</t>
  </si>
  <si>
    <t>GNT-090</t>
  </si>
  <si>
    <t>GNT-091</t>
  </si>
  <si>
    <t>GNT-092</t>
  </si>
  <si>
    <t>GNT-093</t>
  </si>
  <si>
    <t>GNT-094</t>
  </si>
  <si>
    <t>GNT-095</t>
  </si>
  <si>
    <t>GNT-096</t>
  </si>
  <si>
    <t>GNT-097</t>
  </si>
  <si>
    <t>GNT-098</t>
  </si>
  <si>
    <t>GNT-099</t>
  </si>
  <si>
    <t>GNT-100</t>
  </si>
  <si>
    <t>GNT-101</t>
  </si>
  <si>
    <t>MonthDate</t>
  </si>
  <si>
    <t>PlannedPct</t>
  </si>
  <si>
    <t>ActualPct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</si>
</sst>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&quot;%&quot;"/>
  </numFmts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0B173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4" fontId="6" fillId="2" borderId="0" xfId="0" applyNumberFormat="1" applyFont="1" applyFill="1"/>
    <xf numFmtId="0" fontId="6" fillId="2" borderId="0" xfId="0" applyFont="1" applyFill="1"/>
    <xf numFmtId="0" fontId="7" fillId="3" borderId="0" xfId="0" applyFont="1" applyFill="1"/>
    <xf numFmtId="164" fontId="4" fillId="0" borderId="0" xfId="0" applyNumberFormat="1" applyFont="1"/>
    <xf numFmtId="165" fontId="4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1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dd\ 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&quot;%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0B173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38DB5-1AB9-42FC-ABD7-A12B4DCBF5F9}" name="tbl_Projects" displayName="tbl_Projects" ref="A1:AE32" totalsRowShown="0" headerRowDxfId="126" dataDxfId="125">
  <autoFilter ref="A1:AE32" xr:uid="{F1B38DB5-1AB9-42FC-ABD7-A12B4DCBF5F9}"/>
  <tableColumns count="31">
    <tableColumn id="1" xr3:uid="{A0B38DB3-075C-488D-8342-C95BE7B93ED7}" name="ProjectID" dataDxfId="124"/>
    <tableColumn id="2" xr3:uid="{2DDF6A3F-9D1E-4DB2-B747-A72145EEFD65}" name="ProjectName" dataDxfId="123"/>
    <tableColumn id="3" xr3:uid="{2E7E1996-C761-401E-8A1E-C17C0AF190DA}" name="ShortDescription" dataDxfId="122"/>
    <tableColumn id="4" xr3:uid="{3C0BD381-E54A-4F6B-B4F4-ACCA9A282D4A}" name="Asset" dataDxfId="121"/>
    <tableColumn id="5" xr3:uid="{B0ADD892-69A3-4DCD-BCA1-09B469F52B73}" name="Department" dataDxfId="120"/>
    <tableColumn id="6" xr3:uid="{80EAF81C-FF8F-48B2-BD80-92F98C1D325A}" name="DeliveryModel" dataDxfId="119"/>
    <tableColumn id="7" xr3:uid="{E58180D8-59D3-4069-A7DE-85A0385A73BE}" name="ProjectType" dataDxfId="118"/>
    <tableColumn id="8" xr3:uid="{0289A026-7C78-433C-B165-6A875525FCB8}" name="StageGate" dataDxfId="117"/>
    <tableColumn id="9" xr3:uid="{0884093A-7F87-4692-83A1-214229E347CD}" name="PortfolioPhase" dataDxfId="116">
      <calculatedColumnFormula>IF(J2="Closeout","Closeout / Archive",IF(H2="Define","Define",IF(H2="Execute","Execute","Concept / Assess")))</calculatedColumnFormula>
    </tableColumn>
    <tableColumn id="10" xr3:uid="{BCB33236-C43E-48F9-A45E-6535F346EB80}" name="RegisterStatus" dataDxfId="115"/>
    <tableColumn id="11" xr3:uid="{A1B9D14F-B4B9-4B4D-9D3A-B7F8C88891CD}" name="ProjectManager" dataDxfId="114"/>
    <tableColumn id="12" xr3:uid="{A47230DF-422A-43F7-AC0B-49D0CC707548}" name="LeadEngineer" dataDxfId="113"/>
    <tableColumn id="13" xr3:uid="{0A621CA9-8ED5-4463-8DEF-BC009E1E2FA7}" name="PlannedProgressPct" dataDxfId="112"/>
    <tableColumn id="14" xr3:uid="{4240AF42-ECE0-4DCF-AB5C-11918F1E301C}" name="ActualProgressPct" dataDxfId="111"/>
    <tableColumn id="15" xr3:uid="{3FB7D2B3-449D-4785-9A76-EF0C35549CDC}" name="ScheduleVarianceDays" dataDxfId="110"/>
    <tableColumn id="16" xr3:uid="{634BEAE3-1B4C-4E85-94F3-D8448F2AA06F}" name="HealthStatus" dataDxfId="109"/>
    <tableColumn id="17" xr3:uid="{1125E6F5-431D-4E7E-8588-3D97417EF7F0}" name="StartDate" dataDxfId="108"/>
    <tableColumn id="18" xr3:uid="{DD5A436A-3C7F-4063-B0C3-70D21C316DCA}" name="PlannedCompletionDate" dataDxfId="107"/>
    <tableColumn id="19" xr3:uid="{BDE02C49-7EE3-46EE-98DB-FC2C7258169D}" name="ForecastCompletionDate" dataDxfId="106"/>
    <tableColumn id="20" xr3:uid="{835BB425-5C2F-404A-8422-B28637F0B39B}" name="DeliverablesTotal" dataDxfId="105">
      <calculatedColumnFormula>COUNTIF(Deliverables!$B$2:$B$563,A2)</calculatedColumnFormula>
    </tableColumn>
    <tableColumn id="21" xr3:uid="{38E75A23-7549-4996-8569-245CE6617533}" name="DeliverablesComplete" dataDxfId="104">
      <calculatedColumnFormula>COUNTIFS(Deliverables!$B$2:$B$563,A2,Deliverables!$I$2:$I$563,"Approved / IFI")</calculatedColumnFormula>
    </tableColumn>
    <tableColumn id="22" xr3:uid="{D2177DAC-A9F7-416A-9770-09C2DBC41636}" name="DeliverablesOverdue" dataDxfId="103">
      <calculatedColumnFormula>COUNTIFS(Deliverables!$B$2:$B$563,A2,Deliverables!$I$2:$I$563,"&lt;&gt;Approved / IFI",Deliverables!$H$2:$H$563,"&lt;"&amp;Config!$B$2)</calculatedColumnFormula>
    </tableColumn>
    <tableColumn id="23" xr3:uid="{3F85CCEF-B59A-4FA6-BE08-AAD61C326A1F}" name="OpenRisksCount" dataDxfId="102">
      <calculatedColumnFormula>COUNTIFS(Risks!$B$2:$B$35,A2,Risks!$K$2:$K$35,"Open")</calculatedColumnFormula>
    </tableColumn>
    <tableColumn id="24" xr3:uid="{BA909478-1859-419D-8B97-22125D05FE4D}" name="ResourceHeadcount" dataDxfId="101">
      <calculatedColumnFormula>COUNTIF(Allocations!$C$2:$C$73,A2)</calculatedColumnFormula>
    </tableColumn>
    <tableColumn id="25" xr3:uid="{11B72523-371C-4071-BBA1-D1CADCDB3BA4}" name="MDRClosedPct" dataDxfId="100">
      <calculatedColumnFormula>IF(T2=0,0,ROUND(U2/T2*100,0))</calculatedColumnFormula>
    </tableColumn>
    <tableColumn id="26" xr3:uid="{59C7474D-E145-45FE-9D1C-E90C9605DF05}" name="PunchItems" dataDxfId="99"/>
    <tableColumn id="27" xr3:uid="{D29B3844-00C8-44C2-9B93-8AFE2CC5420A}" name="LessonsLearnedStatus" dataDxfId="98"/>
    <tableColumn id="28" xr3:uid="{2D9EFF43-4E16-4D5B-AF83-0474E0071697}" name="ScopeDescription" dataDxfId="97"/>
    <tableColumn id="29" xr3:uid="{4CE9B62A-52DC-41DD-8F2E-E9E9948B7951}" name="FolderName" dataDxfId="96">
      <calculatedColumnFormula>A2&amp;" - "&amp;B2</calculatedColumnFormula>
    </tableColumn>
    <tableColumn id="30" xr3:uid="{5D497F55-5E5B-4D1A-85CA-6BB240168234}" name="FolderLink" dataCellStyle="Hyperlink">
      <calculatedColumnFormula>HYPERLINK(Config!$B$3&amp;"/"&amp;AC2,"Open project folder")</calculatedColumnFormula>
    </tableColumn>
    <tableColumn id="31" xr3:uid="{C7F01D9D-E04A-456D-8772-39AD03955DD7}" name="FolderURL" dataDxfId="95">
      <calculatedColumnFormula>Config!$B$3&amp;"/"&amp;AC2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D5FE6-BB00-4CFC-BE41-75F991097157}" name="tbl_People" displayName="tbl_People" ref="A1:H53" totalsRowShown="0" headerRowDxfId="94" dataDxfId="93">
  <autoFilter ref="A1:H53" xr:uid="{99CD5FE6-BB00-4CFC-BE41-75F991097157}"/>
  <tableColumns count="8">
    <tableColumn id="1" xr3:uid="{018E3C40-FA65-4B18-8C7F-6BA7F88D122D}" name="PersonID" dataDxfId="92"/>
    <tableColumn id="2" xr3:uid="{FB6F4CB9-475B-48C4-8865-BA0F501D7888}" name="Name" dataDxfId="91"/>
    <tableColumn id="3" xr3:uid="{05192C0E-5384-4D0C-A579-B93C8C96839D}" name="Discipline" dataDxfId="90"/>
    <tableColumn id="4" xr3:uid="{EEC52396-4D1E-499B-9A8E-C706BB60B5E0}" name="Department" dataDxfId="89"/>
    <tableColumn id="5" xr3:uid="{D2558011-090E-4BCE-84B2-1337E7FD6F9F}" name="CapacityFTE" dataDxfId="88"/>
    <tableColumn id="6" xr3:uid="{5A494A94-4C26-4C7F-89C5-D37051D4F14D}" name="PrimaryAsset" dataDxfId="87"/>
    <tableColumn id="7" xr3:uid="{9582B77D-1636-4B3B-A69E-2EE75C2661DC}" name="AllocatedPct" dataDxfId="86">
      <calculatedColumnFormula>SUMIFS(Allocations!$D$2:$D$73,Allocations!$B$2:$B$73,A2)</calculatedColumnFormula>
    </tableColumn>
    <tableColumn id="8" xr3:uid="{1711F124-E65C-46D0-AAF0-3F41A6074047}" name="UtilisationStatus" dataDxfId="85">
      <calculatedColumnFormula>IF(G2&gt;105,"Overloaded",IF(G2&gt;=95,"High",IF(G2&gt;=70,"Healthy","Available")))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73140E-4EEF-4522-BED5-7AF896C2DCC1}" name="tbl_Allocations" displayName="tbl_Allocations" ref="A1:E73" totalsRowShown="0" headerRowDxfId="84" dataDxfId="83">
  <autoFilter ref="A1:E73" xr:uid="{4F73140E-4EEF-4522-BED5-7AF896C2DCC1}"/>
  <tableColumns count="5">
    <tableColumn id="1" xr3:uid="{A5B1270F-7ECB-4B79-A644-116879E49BDD}" name="AllocationID" dataDxfId="82"/>
    <tableColumn id="2" xr3:uid="{18553032-E036-4D32-BFE8-582FE4FCEC1D}" name="PersonID" dataDxfId="81"/>
    <tableColumn id="3" xr3:uid="{BDEECD0F-BB2D-4F90-BA3E-170C7311E9A6}" name="ProjectID" dataDxfId="80"/>
    <tableColumn id="4" xr3:uid="{AB623778-6DA0-4D53-BFD8-DCF42907EFDB}" name="AllocationPct" dataDxfId="79"/>
    <tableColumn id="5" xr3:uid="{633C6E9F-0467-49E6-8DB6-CC0248AFD182}" name="RoleOnProject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5C8880-CA51-4F23-8A8B-F74CBC516B04}" name="tbl_Deliverables" displayName="tbl_Deliverables" ref="A1:K563" totalsRowShown="0" headerRowDxfId="77" dataDxfId="76">
  <autoFilter ref="A1:K563" xr:uid="{045C8880-CA51-4F23-8A8B-F74CBC516B04}"/>
  <tableColumns count="11">
    <tableColumn id="1" xr3:uid="{3D892A5D-DEF8-4D75-939F-EFC5A910F8B9}" name="DeliverableID" dataDxfId="75"/>
    <tableColumn id="2" xr3:uid="{5A75261A-CF50-4890-86C3-6FE33DE4635C}" name="ProjectID" dataDxfId="74"/>
    <tableColumn id="3" xr3:uid="{CCBE4360-3485-4D4F-AAD4-32D7F20392A8}" name="DeliverableName" dataDxfId="73"/>
    <tableColumn id="4" xr3:uid="{E5FCD2E4-B270-4963-8756-C3151A9DDD71}" name="Discipline" dataDxfId="72"/>
    <tableColumn id="5" xr3:uid="{9DBAEB1F-89E0-41A2-801C-608414D9B60B}" name="ResponsiblePerson" dataDxfId="71"/>
    <tableColumn id="6" xr3:uid="{C03ACB52-14B8-494A-808C-33E2D231F7EB}" name="Revision" dataDxfId="70"/>
    <tableColumn id="7" xr3:uid="{728ABB77-C3DD-4F35-8705-A3052E97C82C}" name="IssueDate" dataDxfId="69"/>
    <tableColumn id="8" xr3:uid="{0E8E413C-8678-41CB-A046-5C5EF7755A76}" name="DueDate" dataDxfId="68"/>
    <tableColumn id="9" xr3:uid="{B854199C-0DCD-4C05-9084-C6D7C24DBA18}" name="WorkflowStatus" dataDxfId="67"/>
    <tableColumn id="10" xr3:uid="{0EE1C031-D4DF-4B44-A02C-642FD5DC5B7F}" name="IsOverdue" dataDxfId="66">
      <calculatedColumnFormula>IF(AND(H2&lt;Config!$B$2,I2&lt;&gt;"Approved / IFI"),TRUE,FALSE)</calculatedColumnFormula>
    </tableColumn>
    <tableColumn id="11" xr3:uid="{F8C61F5A-4891-4997-A474-1347129AB034}" name="DisplayStatus" dataDxfId="65">
      <calculatedColumnFormula>IF(J2=TRUE,"Overdue",IF(I2="Approved / IFI","Complete",IF(I2="Internal Development","In Progress",IF(I2="Revise &amp; Resubmit","Revise","In Review"))))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802059-5B26-4210-A2DD-A049346B0422}" name="tbl_Risks" displayName="tbl_Risks" ref="A1:M35" totalsRowShown="0" headerRowDxfId="64" dataDxfId="63">
  <autoFilter ref="A1:M35" xr:uid="{55802059-5B26-4210-A2DD-A049346B0422}"/>
  <tableColumns count="13">
    <tableColumn id="1" xr3:uid="{64E3F7AE-D17A-4DE7-956A-17136C8E71EF}" name="RiskID" dataDxfId="62"/>
    <tableColumn id="2" xr3:uid="{A3770C7B-AD7F-4527-A60E-3B73D612C356}" name="ProjectID" dataDxfId="61"/>
    <tableColumn id="3" xr3:uid="{1B3E8531-8B52-4816-9115-74A6198B3ABD}" name="RiskDescription" dataDxfId="60"/>
    <tableColumn id="4" xr3:uid="{5349C1C5-A71F-438B-9FCB-43F457CF9D66}" name="Category" dataDxfId="59"/>
    <tableColumn id="5" xr3:uid="{9F877325-A11D-479A-AF07-9107E79F832B}" name="Likelihood" dataDxfId="58"/>
    <tableColumn id="6" xr3:uid="{D5AE2B97-167E-4BE4-A760-542B4C165834}" name="Impact" dataDxfId="57"/>
    <tableColumn id="7" xr3:uid="{CC0944AE-333E-423D-BA75-EEF0F57DDDE8}" name="Score" dataDxfId="56">
      <calculatedColumnFormula>E2*F2</calculatedColumnFormula>
    </tableColumn>
    <tableColumn id="8" xr3:uid="{387F38E7-E32B-4571-8CBA-F19C01BAC5FF}" name="RiskLevel" dataDxfId="55">
      <calculatedColumnFormula>IF(G2&gt;=15,"High",IF(G2&gt;=8,"Medium","Low"))</calculatedColumnFormula>
    </tableColumn>
    <tableColumn id="9" xr3:uid="{CD1CEE33-10D2-4C5A-B154-C53B2CCD3E86}" name="Owner" dataDxfId="54"/>
    <tableColumn id="10" xr3:uid="{D7B5D5C7-8A43-4E72-81FE-82FC08292E92}" name="MitigationAction" dataDxfId="53"/>
    <tableColumn id="11" xr3:uid="{5E5AE752-30D5-4733-BFB1-94569B6781B7}" name="Status" dataDxfId="52"/>
    <tableColumn id="12" xr3:uid="{233D9FEB-983B-4A08-8514-9D50F27BF9A4}" name="RaisedDate" dataDxfId="51"/>
    <tableColumn id="13" xr3:uid="{0926A823-691F-43A2-93C5-D02EE3CD46DE}" name="TargetCloseDate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02C0C3-B8E9-46E6-A1EA-7E477C36DC5B}" name="tbl_Issues" displayName="tbl_Issues" ref="A1:H17" totalsRowShown="0" headerRowDxfId="49" dataDxfId="48">
  <autoFilter ref="A1:H17" xr:uid="{7302C0C3-B8E9-46E6-A1EA-7E477C36DC5B}"/>
  <tableColumns count="8">
    <tableColumn id="1" xr3:uid="{85438A84-B511-491F-9940-2730444C01CE}" name="IssueID" dataDxfId="47"/>
    <tableColumn id="2" xr3:uid="{3753BB89-C5E5-40D2-A0CA-9D69DF7921AA}" name="ProjectID" dataDxfId="46"/>
    <tableColumn id="3" xr3:uid="{6BE4C47F-58C3-4F78-8659-6CA411C7CE5C}" name="IssueDescription" dataDxfId="45"/>
    <tableColumn id="4" xr3:uid="{6FD1D79A-AD5A-4BDC-81F3-E854185EF20F}" name="Severity" dataDxfId="44"/>
    <tableColumn id="5" xr3:uid="{F721214C-C696-478D-855B-7C50CDE4102E}" name="Owner" dataDxfId="43"/>
    <tableColumn id="6" xr3:uid="{DE00E0AB-FD68-405A-A5CC-F55369773EA8}" name="RaisedDate" dataDxfId="42"/>
    <tableColumn id="7" xr3:uid="{673A86B6-4581-49C8-9BA6-78008687C351}" name="Status" dataDxfId="41"/>
    <tableColumn id="8" xr3:uid="{CA6B3463-DAB7-4B63-B71E-ECFA9510272B}" name="TargetCloseDate" dataDxfId="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9DC4F6-5E2B-42A5-B876-E2F2DA75C729}" name="tbl_Actions" displayName="tbl_Actions" ref="A1:G20" totalsRowShown="0" headerRowDxfId="39" dataDxfId="38">
  <autoFilter ref="A1:G20" xr:uid="{E39DC4F6-5E2B-42A5-B876-E2F2DA75C729}"/>
  <tableColumns count="7">
    <tableColumn id="1" xr3:uid="{8F63D338-8920-40DA-8722-21B66055938A}" name="ActionID" dataDxfId="37"/>
    <tableColumn id="2" xr3:uid="{133C3C1B-5A95-4C8B-B770-EC1257386C30}" name="ProjectID" dataDxfId="36"/>
    <tableColumn id="3" xr3:uid="{136F6225-4C4A-4621-9650-48FF1F803F8B}" name="ActionDescription" dataDxfId="35"/>
    <tableColumn id="4" xr3:uid="{BE9B35E6-09CA-46CC-B4FD-22BA796B1794}" name="Owner" dataDxfId="34"/>
    <tableColumn id="5" xr3:uid="{EA60C4F0-6CB7-4695-BF04-7253AA689969}" name="DueDate" dataDxfId="33"/>
    <tableColumn id="6" xr3:uid="{B8DABA6B-CE49-434E-A672-6AA233C69B19}" name="Status" dataDxfId="32"/>
    <tableColumn id="7" xr3:uid="{ED5C7A62-3C1E-43C0-926C-CB85D30A7205}" name="IsOverdue" dataDxfId="31">
      <calculatedColumnFormula>IF(AND(E2&lt;Config!$B$2,F2="Open"),TRUE,FALSE)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A1AB9F-3C8C-4774-A8ED-B1F997336FA1}" name="tbl_ChangeRequests" displayName="tbl_ChangeRequests" ref="A1:F7" totalsRowShown="0" headerRowDxfId="30" dataDxfId="29">
  <autoFilter ref="A1:F7" xr:uid="{C7A1AB9F-3C8C-4774-A8ED-B1F997336FA1}"/>
  <tableColumns count="6">
    <tableColumn id="1" xr3:uid="{E1B72D39-81AC-471F-AB5A-9EDBFF396B8A}" name="ChangeRequestID" dataDxfId="28"/>
    <tableColumn id="2" xr3:uid="{3B5D24DA-AF70-4A6C-9392-53E7FE3678CA}" name="ProjectID" dataDxfId="27"/>
    <tableColumn id="3" xr3:uid="{F8D6975E-638E-415E-A56B-7F1BEEF7DF3C}" name="Description" dataDxfId="26"/>
    <tableColumn id="4" xr3:uid="{FBA17F71-A93E-4815-9D03-7C66F6C8A501}" name="Status" dataDxfId="25"/>
    <tableColumn id="5" xr3:uid="{1F44B28C-D9D1-4145-BF35-625924B71633}" name="RaisedDate" dataDxfId="24"/>
    <tableColumn id="6" xr3:uid="{282F5451-9F14-41DB-B6BD-B9BCE09A46A8}" name="Impact" dataDxfId="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3B4F9A-579C-4BD0-B4E2-792BDA1C41C8}" name="tbl_Milestones" displayName="tbl_Milestones" ref="A1:G102" totalsRowShown="0" headerRowDxfId="22" dataDxfId="21">
  <autoFilter ref="A1:G102" xr:uid="{F63B4F9A-579C-4BD0-B4E2-792BDA1C41C8}"/>
  <tableColumns count="7">
    <tableColumn id="1" xr3:uid="{8B71AC7B-E4FC-45E6-8F3B-DCC24FE67269}" name="MilestoneID" dataDxfId="20"/>
    <tableColumn id="2" xr3:uid="{4C85FA84-9AF7-4EA8-B665-99E8C5482D1F}" name="ProjectID" dataDxfId="19"/>
    <tableColumn id="3" xr3:uid="{AF82CBB4-9C0C-473E-9345-363838CD217B}" name="MilestoneName" dataDxfId="18"/>
    <tableColumn id="4" xr3:uid="{24EB446D-A0F5-4D2E-B30C-8EEEB1AA2EB7}" name="MilestoneType" dataDxfId="17"/>
    <tableColumn id="5" xr3:uid="{2FCFA869-3A97-4285-A4F7-163E33E567C2}" name="TargetDate" dataDxfId="16"/>
    <tableColumn id="6" xr3:uid="{98EF3AF7-3E50-4F4F-BA12-FCDA79161F92}" name="Status" dataDxfId="15"/>
    <tableColumn id="7" xr3:uid="{3A0B94F9-10DA-4336-881F-B9C9C82DA5EF}" name="ActualDate" dataDxfId="1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691314-E352-4789-9341-5624EB682074}" name="tbl_ScheduleActivities" displayName="tbl_ScheduleActivities" ref="A1:F102" totalsRowShown="0" headerRowDxfId="13" dataDxfId="12">
  <autoFilter ref="A1:F102" xr:uid="{B8691314-E352-4789-9341-5624EB682074}"/>
  <tableColumns count="6">
    <tableColumn id="1" xr3:uid="{07EF9ADE-F18A-4B53-870D-A78BFF7F9AED}" name="ActivityID" dataDxfId="11"/>
    <tableColumn id="2" xr3:uid="{5B226EF9-2824-481D-A61D-B2016306A25B}" name="ProjectID" dataDxfId="10"/>
    <tableColumn id="3" xr3:uid="{D5033C7F-575F-4CE1-81ED-D7492653FF50}" name="ActivityName" dataDxfId="9"/>
    <tableColumn id="4" xr3:uid="{4310FE60-97F8-4E94-A0BE-A2644E228FC6}" name="StartDate" dataDxfId="8"/>
    <tableColumn id="5" xr3:uid="{6BC68F6E-1FD0-49E0-91D4-D2CA05A5E83E}" name="EndDate" dataDxfId="7"/>
    <tableColumn id="6" xr3:uid="{7518B955-C37A-43AA-B339-E7EADFA95A58}" name="PctComplete" dataDxf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EF2E805-F7A4-463B-B47A-32FBC2AE7C7B}" name="tbl_SCurveMonthly" displayName="tbl_SCurveMonthly" ref="A1:D289" totalsRowShown="0" headerRowDxfId="5" dataDxfId="4">
  <autoFilter ref="A1:D289" xr:uid="{4EF2E805-F7A4-463B-B47A-32FBC2AE7C7B}"/>
  <tableColumns count="4">
    <tableColumn id="1" xr3:uid="{447ADC5D-1A18-4F28-B801-3EE1CF039642}" name="ProjectID" dataDxfId="3"/>
    <tableColumn id="2" xr3:uid="{F997DE00-1B1F-4599-B61C-7316299DDE46}" name="MonthDate" dataDxfId="2"/>
    <tableColumn id="3" xr3:uid="{5D950DD5-4AF7-451F-BCEC-C1D1DDA93DD6}" name="PlannedPct" dataDxfId="1"/>
    <tableColumn id="4" xr3:uid="{0B6E8DC2-08F5-40E5-A42B-BDC553B4B0DA}" name="ActualP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42FB-7ED6-4A58-94B0-1C148E0048F5}">
  <dimension ref="A1:B23"/>
  <sheetViews>
    <sheetView tabSelected="1" workbookViewId="0"/>
  </sheetViews>
  <sheetFormatPr defaultRowHeight="14" x14ac:dyDescent="0.3"/>
  <cols>
    <col min="1" max="1" width="22.6328125" style="3" customWidth="1"/>
    <col min="2" max="2" width="110.6328125" style="2" customWidth="1"/>
    <col min="3" max="16384" width="8.7265625" style="3"/>
  </cols>
  <sheetData>
    <row r="1" spans="1:2" ht="18" x14ac:dyDescent="0.4">
      <c r="A1" s="1" t="s">
        <v>0</v>
      </c>
    </row>
    <row r="3" spans="1:2" ht="28" x14ac:dyDescent="0.3">
      <c r="A3" s="3" t="s">
        <v>1</v>
      </c>
      <c r="B3" s="2" t="s">
        <v>2</v>
      </c>
    </row>
    <row r="4" spans="1:2" ht="28" x14ac:dyDescent="0.3">
      <c r="A4" s="3" t="s">
        <v>3</v>
      </c>
      <c r="B4" s="2" t="s">
        <v>4</v>
      </c>
    </row>
    <row r="5" spans="1:2" ht="28" x14ac:dyDescent="0.3">
      <c r="A5" s="3" t="s">
        <v>5</v>
      </c>
      <c r="B5" s="2" t="s">
        <v>6</v>
      </c>
    </row>
    <row r="6" spans="1:2" ht="70" x14ac:dyDescent="0.3">
      <c r="A6" s="3" t="s">
        <v>7</v>
      </c>
      <c r="B6" s="2" t="s">
        <v>8</v>
      </c>
    </row>
    <row r="8" spans="1:2" x14ac:dyDescent="0.3">
      <c r="A8" s="4" t="s">
        <v>9</v>
      </c>
      <c r="B8" s="5" t="s">
        <v>10</v>
      </c>
    </row>
    <row r="9" spans="1:2" x14ac:dyDescent="0.3">
      <c r="A9" s="3" t="s">
        <v>11</v>
      </c>
      <c r="B9" s="2" t="s">
        <v>12</v>
      </c>
    </row>
    <row r="10" spans="1:2" x14ac:dyDescent="0.3">
      <c r="A10" s="3" t="s">
        <v>13</v>
      </c>
      <c r="B10" s="2" t="s">
        <v>14</v>
      </c>
    </row>
    <row r="11" spans="1:2" x14ac:dyDescent="0.3">
      <c r="A11" s="3" t="s">
        <v>15</v>
      </c>
      <c r="B11" s="2" t="s">
        <v>16</v>
      </c>
    </row>
    <row r="12" spans="1:2" x14ac:dyDescent="0.3">
      <c r="A12" s="3" t="s">
        <v>17</v>
      </c>
      <c r="B12" s="2" t="s">
        <v>18</v>
      </c>
    </row>
    <row r="13" spans="1:2" x14ac:dyDescent="0.3">
      <c r="A13" s="3" t="s">
        <v>19</v>
      </c>
      <c r="B13" s="2" t="s">
        <v>20</v>
      </c>
    </row>
    <row r="14" spans="1:2" x14ac:dyDescent="0.3">
      <c r="A14" s="3" t="s">
        <v>21</v>
      </c>
      <c r="B14" s="2" t="s">
        <v>22</v>
      </c>
    </row>
    <row r="15" spans="1:2" x14ac:dyDescent="0.3">
      <c r="A15" s="3" t="s">
        <v>23</v>
      </c>
      <c r="B15" s="2" t="s">
        <v>24</v>
      </c>
    </row>
    <row r="16" spans="1:2" x14ac:dyDescent="0.3">
      <c r="A16" s="3" t="s">
        <v>25</v>
      </c>
      <c r="B16" s="2" t="s">
        <v>26</v>
      </c>
    </row>
    <row r="17" spans="1:2" x14ac:dyDescent="0.3">
      <c r="A17" s="3" t="s">
        <v>27</v>
      </c>
      <c r="B17" s="2" t="s">
        <v>28</v>
      </c>
    </row>
    <row r="18" spans="1:2" x14ac:dyDescent="0.3">
      <c r="A18" s="3" t="s">
        <v>29</v>
      </c>
      <c r="B18" s="2" t="s">
        <v>30</v>
      </c>
    </row>
    <row r="19" spans="1:2" x14ac:dyDescent="0.3">
      <c r="A19" s="3" t="s">
        <v>31</v>
      </c>
      <c r="B19" s="2" t="s">
        <v>32</v>
      </c>
    </row>
    <row r="20" spans="1:2" x14ac:dyDescent="0.3">
      <c r="A20" s="3" t="s">
        <v>33</v>
      </c>
      <c r="B20" s="2" t="s">
        <v>34</v>
      </c>
    </row>
    <row r="21" spans="1:2" x14ac:dyDescent="0.3">
      <c r="A21" s="3" t="s">
        <v>35</v>
      </c>
      <c r="B21" s="2" t="s">
        <v>36</v>
      </c>
    </row>
    <row r="23" spans="1:2" ht="42" x14ac:dyDescent="0.3">
      <c r="A23" s="3" t="s">
        <v>37</v>
      </c>
      <c r="B23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C3FA-6A99-4873-90A1-A744A6F10B73}">
  <dimension ref="A1:B3"/>
  <sheetViews>
    <sheetView workbookViewId="0"/>
  </sheetViews>
  <sheetFormatPr defaultRowHeight="12.5" x14ac:dyDescent="0.25"/>
  <cols>
    <col min="1" max="1" width="20.6328125" style="6" customWidth="1"/>
    <col min="2" max="2" width="55.6328125" style="6" customWidth="1"/>
    <col min="3" max="16384" width="8.7265625" style="6"/>
  </cols>
  <sheetData>
    <row r="1" spans="1:2" ht="13" x14ac:dyDescent="0.3">
      <c r="A1" s="7" t="s">
        <v>39</v>
      </c>
      <c r="B1" s="7" t="s">
        <v>40</v>
      </c>
    </row>
    <row r="2" spans="1:2" x14ac:dyDescent="0.25">
      <c r="A2" s="6" t="s">
        <v>41</v>
      </c>
      <c r="B2" s="8">
        <v>46249.000009837961</v>
      </c>
    </row>
    <row r="3" spans="1:2" x14ac:dyDescent="0.25">
      <c r="A3" s="6" t="s">
        <v>42</v>
      </c>
      <c r="B3" s="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B6FA-7C3C-4866-8D6A-B0E89F6447A2}">
  <dimension ref="A1:J12"/>
  <sheetViews>
    <sheetView workbookViewId="0"/>
  </sheetViews>
  <sheetFormatPr defaultRowHeight="12.5" x14ac:dyDescent="0.25"/>
  <cols>
    <col min="1" max="1" width="14.7265625" style="6" bestFit="1" customWidth="1"/>
    <col min="2" max="2" width="16.36328125" style="6" bestFit="1" customWidth="1"/>
    <col min="3" max="3" width="7.36328125" style="6" bestFit="1" customWidth="1"/>
    <col min="4" max="4" width="19.08984375" style="6" bestFit="1" customWidth="1"/>
    <col min="5" max="5" width="10.81640625" style="6" bestFit="1" customWidth="1"/>
    <col min="6" max="6" width="11.81640625" style="6" bestFit="1" customWidth="1"/>
    <col min="7" max="7" width="13.6328125" style="6" bestFit="1" customWidth="1"/>
    <col min="8" max="8" width="17.81640625" style="6" bestFit="1" customWidth="1"/>
    <col min="9" max="9" width="12.36328125" style="6" bestFit="1" customWidth="1"/>
    <col min="10" max="10" width="13.08984375" style="6" bestFit="1" customWidth="1"/>
    <col min="11" max="16384" width="8.7265625" style="6"/>
  </cols>
  <sheetData>
    <row r="1" spans="1:10" ht="13" x14ac:dyDescent="0.3">
      <c r="A1" s="7" t="s">
        <v>44</v>
      </c>
      <c r="B1" s="7" t="s">
        <v>49</v>
      </c>
      <c r="C1" s="7" t="s">
        <v>58</v>
      </c>
      <c r="D1" s="7" t="s">
        <v>70</v>
      </c>
      <c r="E1" s="7" t="s">
        <v>75</v>
      </c>
      <c r="F1" s="7" t="s">
        <v>82</v>
      </c>
      <c r="G1" s="7" t="s">
        <v>86</v>
      </c>
      <c r="H1" s="7" t="s">
        <v>89</v>
      </c>
      <c r="I1" s="7" t="s">
        <v>95</v>
      </c>
      <c r="J1" s="7" t="s">
        <v>102</v>
      </c>
    </row>
    <row r="2" spans="1:10" x14ac:dyDescent="0.25">
      <c r="A2" s="6" t="s">
        <v>45</v>
      </c>
      <c r="B2" s="6" t="s">
        <v>50</v>
      </c>
      <c r="C2" s="6" t="s">
        <v>59</v>
      </c>
      <c r="D2" s="6" t="s">
        <v>71</v>
      </c>
      <c r="E2" s="6" t="s">
        <v>76</v>
      </c>
      <c r="F2" s="6" t="s">
        <v>83</v>
      </c>
      <c r="G2" s="6" t="s">
        <v>87</v>
      </c>
      <c r="H2" s="6" t="s">
        <v>90</v>
      </c>
      <c r="I2" s="6" t="s">
        <v>96</v>
      </c>
      <c r="J2" s="6" t="s">
        <v>103</v>
      </c>
    </row>
    <row r="3" spans="1:10" x14ac:dyDescent="0.25">
      <c r="A3" s="6" t="s">
        <v>46</v>
      </c>
      <c r="B3" s="6" t="s">
        <v>51</v>
      </c>
      <c r="C3" s="6" t="s">
        <v>60</v>
      </c>
      <c r="D3" s="6" t="s">
        <v>72</v>
      </c>
      <c r="E3" s="6" t="s">
        <v>77</v>
      </c>
      <c r="F3" s="6" t="s">
        <v>84</v>
      </c>
      <c r="G3" s="6" t="s">
        <v>88</v>
      </c>
      <c r="H3" s="6" t="s">
        <v>91</v>
      </c>
      <c r="I3" s="6" t="s">
        <v>97</v>
      </c>
      <c r="J3" s="6" t="s">
        <v>104</v>
      </c>
    </row>
    <row r="4" spans="1:10" x14ac:dyDescent="0.25">
      <c r="A4" s="6" t="s">
        <v>47</v>
      </c>
      <c r="B4" s="6" t="s">
        <v>52</v>
      </c>
      <c r="C4" s="6" t="s">
        <v>61</v>
      </c>
      <c r="D4" s="6" t="s">
        <v>73</v>
      </c>
      <c r="E4" s="6" t="s">
        <v>78</v>
      </c>
      <c r="F4" s="6" t="s">
        <v>85</v>
      </c>
      <c r="H4" s="6" t="s">
        <v>92</v>
      </c>
      <c r="I4" s="6" t="s">
        <v>98</v>
      </c>
    </row>
    <row r="5" spans="1:10" x14ac:dyDescent="0.25">
      <c r="A5" s="6" t="s">
        <v>48</v>
      </c>
      <c r="B5" s="6" t="s">
        <v>53</v>
      </c>
      <c r="C5" s="6" t="s">
        <v>62</v>
      </c>
      <c r="D5" s="6" t="s">
        <v>74</v>
      </c>
      <c r="E5" s="6" t="s">
        <v>79</v>
      </c>
      <c r="H5" s="6" t="s">
        <v>93</v>
      </c>
      <c r="I5" s="6" t="s">
        <v>99</v>
      </c>
    </row>
    <row r="6" spans="1:10" x14ac:dyDescent="0.25">
      <c r="B6" s="6" t="s">
        <v>54</v>
      </c>
      <c r="C6" s="6" t="s">
        <v>63</v>
      </c>
      <c r="E6" s="6" t="s">
        <v>80</v>
      </c>
      <c r="H6" s="6" t="s">
        <v>94</v>
      </c>
      <c r="I6" s="6" t="s">
        <v>100</v>
      </c>
    </row>
    <row r="7" spans="1:10" x14ac:dyDescent="0.25">
      <c r="B7" s="6" t="s">
        <v>55</v>
      </c>
      <c r="C7" s="6" t="s">
        <v>64</v>
      </c>
      <c r="E7" s="6" t="s">
        <v>81</v>
      </c>
      <c r="I7" s="6" t="s">
        <v>101</v>
      </c>
    </row>
    <row r="8" spans="1:10" x14ac:dyDescent="0.25">
      <c r="B8" s="6" t="s">
        <v>56</v>
      </c>
      <c r="C8" s="6" t="s">
        <v>65</v>
      </c>
    </row>
    <row r="9" spans="1:10" x14ac:dyDescent="0.25">
      <c r="B9" s="6" t="s">
        <v>57</v>
      </c>
      <c r="C9" s="6" t="s">
        <v>66</v>
      </c>
    </row>
    <row r="10" spans="1:10" x14ac:dyDescent="0.25">
      <c r="C10" s="6" t="s">
        <v>67</v>
      </c>
    </row>
    <row r="11" spans="1:10" x14ac:dyDescent="0.25">
      <c r="C11" s="6" t="s">
        <v>68</v>
      </c>
    </row>
    <row r="12" spans="1:10" x14ac:dyDescent="0.25">
      <c r="C12" s="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CFEF-CDBB-4E82-A6CA-DB56CFFAC682}">
  <dimension ref="A1:AE32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0.6328125" style="6" customWidth="1"/>
    <col min="2" max="2" width="29.90625" style="6" bestFit="1" customWidth="1"/>
    <col min="3" max="3" width="26.36328125" style="6" bestFit="1" customWidth="1"/>
    <col min="4" max="4" width="7.6328125" style="6" customWidth="1"/>
    <col min="5" max="5" width="14.7265625" style="6" bestFit="1" customWidth="1"/>
    <col min="6" max="6" width="19.08984375" style="6" bestFit="1" customWidth="1"/>
    <col min="7" max="7" width="13.1796875" style="6" customWidth="1"/>
    <col min="8" max="8" width="11.81640625" style="6" customWidth="1"/>
    <col min="9" max="9" width="15.453125" style="6" customWidth="1"/>
    <col min="10" max="10" width="15.54296875" style="6" customWidth="1"/>
    <col min="11" max="11" width="16.36328125" style="6" customWidth="1"/>
    <col min="12" max="12" width="14.6328125" style="6" customWidth="1"/>
    <col min="13" max="13" width="20.36328125" style="6" customWidth="1"/>
    <col min="14" max="14" width="18.81640625" style="6" customWidth="1"/>
    <col min="15" max="15" width="22.453125" style="6" customWidth="1"/>
    <col min="16" max="16" width="13.81640625" style="6" customWidth="1"/>
    <col min="17" max="17" width="11.6328125" style="6" bestFit="1" customWidth="1"/>
    <col min="18" max="18" width="23.36328125" style="6" customWidth="1"/>
    <col min="19" max="19" width="24" style="6" customWidth="1"/>
    <col min="20" max="20" width="17.6328125" style="6" customWidth="1"/>
    <col min="21" max="21" width="21.36328125" style="6" customWidth="1"/>
    <col min="22" max="22" width="20.6328125" style="6" customWidth="1"/>
    <col min="23" max="23" width="17.36328125" style="6" customWidth="1"/>
    <col min="24" max="24" width="20.26953125" style="6" customWidth="1"/>
    <col min="25" max="25" width="15.6328125" style="6" customWidth="1"/>
    <col min="26" max="26" width="12.90625" style="6" customWidth="1"/>
    <col min="27" max="27" width="22.6328125" style="6" customWidth="1"/>
    <col min="28" max="28" width="179.453125" style="6" bestFit="1" customWidth="1"/>
    <col min="29" max="29" width="13.08984375" style="6" customWidth="1"/>
    <col min="30" max="31" width="11.90625" style="6" customWidth="1"/>
    <col min="32" max="16384" width="8.7265625" style="6"/>
  </cols>
  <sheetData>
    <row r="1" spans="1:31" ht="18" customHeight="1" x14ac:dyDescent="0.3">
      <c r="A1" s="10" t="s">
        <v>105</v>
      </c>
      <c r="B1" s="10" t="s">
        <v>106</v>
      </c>
      <c r="C1" s="10" t="s">
        <v>107</v>
      </c>
      <c r="D1" s="10" t="s">
        <v>108</v>
      </c>
      <c r="E1" s="10" t="s">
        <v>109</v>
      </c>
      <c r="F1" s="10" t="s">
        <v>110</v>
      </c>
      <c r="G1" s="10" t="s">
        <v>102</v>
      </c>
      <c r="H1" s="10" t="s">
        <v>111</v>
      </c>
      <c r="I1" s="10" t="s">
        <v>112</v>
      </c>
      <c r="J1" s="10" t="s">
        <v>86</v>
      </c>
      <c r="K1" s="10" t="s">
        <v>113</v>
      </c>
      <c r="L1" s="10" t="s">
        <v>114</v>
      </c>
      <c r="M1" s="10" t="s">
        <v>115</v>
      </c>
      <c r="N1" s="10" t="s">
        <v>116</v>
      </c>
      <c r="O1" s="10" t="s">
        <v>117</v>
      </c>
      <c r="P1" s="10" t="s">
        <v>82</v>
      </c>
      <c r="Q1" s="10" t="s">
        <v>118</v>
      </c>
      <c r="R1" s="10" t="s">
        <v>119</v>
      </c>
      <c r="S1" s="10" t="s">
        <v>120</v>
      </c>
      <c r="T1" s="10" t="s">
        <v>121</v>
      </c>
      <c r="U1" s="10" t="s">
        <v>122</v>
      </c>
      <c r="V1" s="10" t="s">
        <v>123</v>
      </c>
      <c r="W1" s="10" t="s">
        <v>124</v>
      </c>
      <c r="X1" s="10" t="s">
        <v>125</v>
      </c>
      <c r="Y1" s="10" t="s">
        <v>126</v>
      </c>
      <c r="Z1" s="10" t="s">
        <v>127</v>
      </c>
      <c r="AA1" s="10" t="s">
        <v>128</v>
      </c>
      <c r="AB1" s="10" t="s">
        <v>129</v>
      </c>
      <c r="AC1" s="10" t="s">
        <v>130</v>
      </c>
      <c r="AD1" s="10" t="s">
        <v>131</v>
      </c>
      <c r="AE1" s="10" t="s">
        <v>132</v>
      </c>
    </row>
    <row r="2" spans="1:31" ht="14.5" x14ac:dyDescent="0.35">
      <c r="A2" s="6" t="s">
        <v>133</v>
      </c>
      <c r="B2" s="6" t="s">
        <v>134</v>
      </c>
      <c r="C2" s="6" t="s">
        <v>135</v>
      </c>
      <c r="D2" s="6" t="s">
        <v>62</v>
      </c>
      <c r="E2" s="6" t="s">
        <v>45</v>
      </c>
      <c r="F2" s="6" t="s">
        <v>72</v>
      </c>
      <c r="G2" s="6" t="s">
        <v>103</v>
      </c>
      <c r="H2" s="6" t="s">
        <v>79</v>
      </c>
      <c r="I2" s="6" t="str">
        <f t="shared" ref="I2:I32" si="0">IF(J2="Closeout","Closeout / Archive",IF(H2="Define","Define",IF(H2="Execute","Execute","Concept / Assess")))</f>
        <v>Define</v>
      </c>
      <c r="J2" s="6" t="s">
        <v>87</v>
      </c>
      <c r="K2" s="6" t="s">
        <v>136</v>
      </c>
      <c r="L2" s="6" t="s">
        <v>137</v>
      </c>
      <c r="M2" s="12">
        <v>72</v>
      </c>
      <c r="N2" s="12">
        <v>68</v>
      </c>
      <c r="O2" s="6">
        <v>6</v>
      </c>
      <c r="P2" s="6" t="s">
        <v>84</v>
      </c>
      <c r="Q2" s="11">
        <v>45945</v>
      </c>
      <c r="R2" s="11">
        <v>46263</v>
      </c>
      <c r="S2" s="11">
        <v>46269</v>
      </c>
      <c r="T2" s="6">
        <f>COUNTIF(Deliverables!$B$2:$B$563,A2)</f>
        <v>22</v>
      </c>
      <c r="U2" s="6">
        <f>COUNTIFS(Deliverables!$B$2:$B$563,A2,Deliverables!$I$2:$I$563,"Approved / IFI")</f>
        <v>18</v>
      </c>
      <c r="V2" s="6">
        <f>COUNTIFS(Deliverables!$B$2:$B$563,A2,Deliverables!$I$2:$I$563,"&lt;&gt;Approved / IFI",Deliverables!$H$2:$H$563,"&lt;"&amp;Config!$B$2)</f>
        <v>1</v>
      </c>
      <c r="W2" s="6">
        <f>COUNTIFS(Risks!$B$2:$B$35,A2,Risks!$K$2:$K$35,"Open")</f>
        <v>4</v>
      </c>
      <c r="X2" s="6">
        <f>COUNTIF(Allocations!$C$2:$C$73,A2)</f>
        <v>6</v>
      </c>
      <c r="Y2" s="12">
        <f t="shared" ref="Y2:Y32" si="1">IF(T2=0,0,ROUND(U2/T2*100,0))</f>
        <v>82</v>
      </c>
      <c r="Z2" s="6">
        <v>0</v>
      </c>
      <c r="AA2" s="6" t="s">
        <v>138</v>
      </c>
      <c r="AB2" s="6" t="s">
        <v>139</v>
      </c>
      <c r="AC2" s="6" t="str">
        <f t="shared" ref="AC2:AC32" si="2">A2&amp;" - "&amp;B2</f>
        <v>PRJ-024 - North Hub Compression Upgrade</v>
      </c>
      <c r="AD2" s="13" t="str">
        <f>HYPERLINK(Config!$B$3&amp;"/"&amp;AC2,"Open project folder")</f>
        <v>Open project folder</v>
      </c>
      <c r="AE2" s="6" t="str">
        <f>Config!$B$3&amp;"/"&amp;AC2</f>
        <v>PASTE-YOUR-ONEDRIVE-PROJECT-FILES-FOLDER-URL-HERE/PRJ-024 - North Hub Compression Upgrade</v>
      </c>
    </row>
    <row r="3" spans="1:31" ht="14.5" x14ac:dyDescent="0.35">
      <c r="A3" s="6" t="s">
        <v>140</v>
      </c>
      <c r="B3" s="6" t="s">
        <v>141</v>
      </c>
      <c r="C3" s="6" t="s">
        <v>142</v>
      </c>
      <c r="D3" s="6" t="s">
        <v>65</v>
      </c>
      <c r="E3" s="6" t="s">
        <v>47</v>
      </c>
      <c r="F3" s="6" t="s">
        <v>74</v>
      </c>
      <c r="G3" s="6" t="s">
        <v>103</v>
      </c>
      <c r="H3" s="6" t="s">
        <v>80</v>
      </c>
      <c r="I3" s="6" t="str">
        <f t="shared" si="0"/>
        <v>Execute</v>
      </c>
      <c r="J3" s="6" t="s">
        <v>87</v>
      </c>
      <c r="K3" s="6" t="s">
        <v>143</v>
      </c>
      <c r="L3" s="6" t="s">
        <v>144</v>
      </c>
      <c r="M3" s="12">
        <v>75</v>
      </c>
      <c r="N3" s="12">
        <v>74</v>
      </c>
      <c r="O3" s="6">
        <v>-2</v>
      </c>
      <c r="P3" s="6" t="s">
        <v>83</v>
      </c>
      <c r="Q3" s="11">
        <v>45787</v>
      </c>
      <c r="R3" s="11">
        <v>46336</v>
      </c>
      <c r="S3" s="11">
        <v>46332</v>
      </c>
      <c r="T3" s="6">
        <f>COUNTIF(Deliverables!$B$2:$B$563,A3)</f>
        <v>22</v>
      </c>
      <c r="U3" s="6">
        <f>COUNTIFS(Deliverables!$B$2:$B$563,A3,Deliverables!$I$2:$I$563,"Approved / IFI")</f>
        <v>14</v>
      </c>
      <c r="V3" s="6">
        <f>COUNTIFS(Deliverables!$B$2:$B$563,A3,Deliverables!$I$2:$I$563,"&lt;&gt;Approved / IFI",Deliverables!$H$2:$H$563,"&lt;"&amp;Config!$B$2)</f>
        <v>1</v>
      </c>
      <c r="W3" s="6">
        <f>COUNTIFS(Risks!$B$2:$B$35,A3,Risks!$K$2:$K$35,"Open")</f>
        <v>1</v>
      </c>
      <c r="X3" s="6">
        <f>COUNTIF(Allocations!$C$2:$C$73,A3)</f>
        <v>6</v>
      </c>
      <c r="Y3" s="12">
        <f t="shared" si="1"/>
        <v>64</v>
      </c>
      <c r="Z3" s="6">
        <v>0</v>
      </c>
      <c r="AA3" s="6" t="s">
        <v>138</v>
      </c>
      <c r="AB3" s="6" t="s">
        <v>145</v>
      </c>
      <c r="AC3" s="6" t="str">
        <f t="shared" si="2"/>
        <v>PRJ-021 - Offshore Water Injection</v>
      </c>
      <c r="AD3" s="13" t="str">
        <f>HYPERLINK(Config!$B$3&amp;"/"&amp;AC3,"Open project folder")</f>
        <v>Open project folder</v>
      </c>
      <c r="AE3" s="6" t="str">
        <f>Config!$B$3&amp;"/"&amp;AC3</f>
        <v>PASTE-YOUR-ONEDRIVE-PROJECT-FILES-FOLDER-URL-HERE/PRJ-021 - Offshore Water Injection</v>
      </c>
    </row>
    <row r="4" spans="1:31" ht="14.5" x14ac:dyDescent="0.35">
      <c r="A4" s="6" t="s">
        <v>146</v>
      </c>
      <c r="B4" s="6" t="s">
        <v>147</v>
      </c>
      <c r="C4" s="6" t="s">
        <v>148</v>
      </c>
      <c r="D4" s="6" t="s">
        <v>60</v>
      </c>
      <c r="E4" s="6" t="s">
        <v>45</v>
      </c>
      <c r="F4" s="6" t="s">
        <v>71</v>
      </c>
      <c r="G4" s="6" t="s">
        <v>103</v>
      </c>
      <c r="H4" s="6" t="s">
        <v>77</v>
      </c>
      <c r="I4" s="6" t="str">
        <f t="shared" si="0"/>
        <v>Concept / Assess</v>
      </c>
      <c r="J4" s="6" t="s">
        <v>87</v>
      </c>
      <c r="K4" s="6" t="s">
        <v>149</v>
      </c>
      <c r="L4" s="6" t="s">
        <v>150</v>
      </c>
      <c r="M4" s="12">
        <v>43</v>
      </c>
      <c r="N4" s="12">
        <v>37</v>
      </c>
      <c r="O4" s="6">
        <v>0</v>
      </c>
      <c r="P4" s="6" t="s">
        <v>83</v>
      </c>
      <c r="Q4" s="11">
        <v>46193</v>
      </c>
      <c r="R4" s="11">
        <v>46438</v>
      </c>
      <c r="S4" s="11">
        <v>46438</v>
      </c>
      <c r="T4" s="6">
        <f>COUNTIF(Deliverables!$B$2:$B$563,A4)</f>
        <v>19</v>
      </c>
      <c r="U4" s="6">
        <f>COUNTIFS(Deliverables!$B$2:$B$563,A4,Deliverables!$I$2:$I$563,"Approved / IFI")</f>
        <v>9</v>
      </c>
      <c r="V4" s="6">
        <f>COUNTIFS(Deliverables!$B$2:$B$563,A4,Deliverables!$I$2:$I$563,"&lt;&gt;Approved / IFI",Deliverables!$H$2:$H$563,"&lt;"&amp;Config!$B$2)</f>
        <v>2</v>
      </c>
      <c r="W4" s="6">
        <f>COUNTIFS(Risks!$B$2:$B$35,A4,Risks!$K$2:$K$35,"Open")</f>
        <v>2</v>
      </c>
      <c r="X4" s="6">
        <f>COUNTIF(Allocations!$C$2:$C$73,A4)</f>
        <v>5</v>
      </c>
      <c r="Y4" s="12">
        <f t="shared" si="1"/>
        <v>47</v>
      </c>
      <c r="Z4" s="6">
        <v>0</v>
      </c>
      <c r="AA4" s="6" t="s">
        <v>138</v>
      </c>
      <c r="AB4" s="6" t="s">
        <v>151</v>
      </c>
      <c r="AC4" s="6" t="str">
        <f t="shared" si="2"/>
        <v>PRJ-018 - Produced Water Upgrade</v>
      </c>
      <c r="AD4" s="13" t="str">
        <f>HYPERLINK(Config!$B$3&amp;"/"&amp;AC4,"Open project folder")</f>
        <v>Open project folder</v>
      </c>
      <c r="AE4" s="6" t="str">
        <f>Config!$B$3&amp;"/"&amp;AC4</f>
        <v>PASTE-YOUR-ONEDRIVE-PROJECT-FILES-FOLDER-URL-HERE/PRJ-018 - Produced Water Upgrade</v>
      </c>
    </row>
    <row r="5" spans="1:31" ht="14.5" x14ac:dyDescent="0.35">
      <c r="A5" s="6" t="s">
        <v>152</v>
      </c>
      <c r="B5" s="6" t="s">
        <v>153</v>
      </c>
      <c r="C5" s="6" t="s">
        <v>154</v>
      </c>
      <c r="D5" s="6" t="s">
        <v>68</v>
      </c>
      <c r="E5" s="6" t="s">
        <v>45</v>
      </c>
      <c r="F5" s="6" t="s">
        <v>73</v>
      </c>
      <c r="G5" s="6" t="s">
        <v>103</v>
      </c>
      <c r="H5" s="6" t="s">
        <v>79</v>
      </c>
      <c r="I5" s="6" t="str">
        <f t="shared" si="0"/>
        <v>Define</v>
      </c>
      <c r="J5" s="6" t="s">
        <v>87</v>
      </c>
      <c r="K5" s="6" t="s">
        <v>155</v>
      </c>
      <c r="L5" s="6" t="s">
        <v>156</v>
      </c>
      <c r="M5" s="12">
        <v>58</v>
      </c>
      <c r="N5" s="12">
        <v>52</v>
      </c>
      <c r="O5" s="6">
        <v>12</v>
      </c>
      <c r="P5" s="6" t="s">
        <v>85</v>
      </c>
      <c r="Q5" s="11">
        <v>45915</v>
      </c>
      <c r="R5" s="11">
        <v>46310</v>
      </c>
      <c r="S5" s="11">
        <v>46327</v>
      </c>
      <c r="T5" s="6">
        <f>COUNTIF(Deliverables!$B$2:$B$563,A5)</f>
        <v>18</v>
      </c>
      <c r="U5" s="6">
        <f>COUNTIFS(Deliverables!$B$2:$B$563,A5,Deliverables!$I$2:$I$563,"Approved / IFI")</f>
        <v>11</v>
      </c>
      <c r="V5" s="6">
        <f>COUNTIFS(Deliverables!$B$2:$B$563,A5,Deliverables!$I$2:$I$563,"&lt;&gt;Approved / IFI",Deliverables!$H$2:$H$563,"&lt;"&amp;Config!$B$2)</f>
        <v>3</v>
      </c>
      <c r="W5" s="6">
        <f>COUNTIFS(Risks!$B$2:$B$35,A5,Risks!$K$2:$K$35,"Open")</f>
        <v>1</v>
      </c>
      <c r="X5" s="6">
        <f>COUNTIF(Allocations!$C$2:$C$73,A5)</f>
        <v>2</v>
      </c>
      <c r="Y5" s="12">
        <f t="shared" si="1"/>
        <v>61</v>
      </c>
      <c r="Z5" s="6">
        <v>0</v>
      </c>
      <c r="AA5" s="6" t="s">
        <v>138</v>
      </c>
      <c r="AB5" s="6" t="s">
        <v>157</v>
      </c>
      <c r="AC5" s="6" t="str">
        <f t="shared" si="2"/>
        <v>PRJ-015 - Gas Export Metering</v>
      </c>
      <c r="AD5" s="13" t="str">
        <f>HYPERLINK(Config!$B$3&amp;"/"&amp;AC5,"Open project folder")</f>
        <v>Open project folder</v>
      </c>
      <c r="AE5" s="6" t="str">
        <f>Config!$B$3&amp;"/"&amp;AC5</f>
        <v>PASTE-YOUR-ONEDRIVE-PROJECT-FILES-FOLDER-URL-HERE/PRJ-015 - Gas Export Metering</v>
      </c>
    </row>
    <row r="6" spans="1:31" ht="14.5" x14ac:dyDescent="0.35">
      <c r="A6" s="6" t="s">
        <v>158</v>
      </c>
      <c r="B6" s="6" t="s">
        <v>159</v>
      </c>
      <c r="C6" s="6" t="s">
        <v>160</v>
      </c>
      <c r="D6" s="6" t="s">
        <v>59</v>
      </c>
      <c r="E6" s="6" t="s">
        <v>47</v>
      </c>
      <c r="F6" s="6" t="s">
        <v>71</v>
      </c>
      <c r="G6" s="6" t="s">
        <v>103</v>
      </c>
      <c r="H6" s="6" t="s">
        <v>80</v>
      </c>
      <c r="I6" s="6" t="str">
        <f t="shared" si="0"/>
        <v>Execute</v>
      </c>
      <c r="J6" s="6" t="s">
        <v>87</v>
      </c>
      <c r="K6" s="6" t="s">
        <v>161</v>
      </c>
      <c r="L6" s="6" t="s">
        <v>162</v>
      </c>
      <c r="M6" s="12">
        <v>84</v>
      </c>
      <c r="N6" s="12">
        <v>86</v>
      </c>
      <c r="O6" s="6">
        <v>-2</v>
      </c>
      <c r="P6" s="6" t="s">
        <v>83</v>
      </c>
      <c r="Q6" s="11">
        <v>45826</v>
      </c>
      <c r="R6" s="11">
        <v>46283</v>
      </c>
      <c r="S6" s="11">
        <v>46281</v>
      </c>
      <c r="T6" s="6">
        <f>COUNTIF(Deliverables!$B$2:$B$563,A6)</f>
        <v>17</v>
      </c>
      <c r="U6" s="6">
        <f>COUNTIFS(Deliverables!$B$2:$B$563,A6,Deliverables!$I$2:$I$563,"Approved / IFI")</f>
        <v>16</v>
      </c>
      <c r="V6" s="6">
        <f>COUNTIFS(Deliverables!$B$2:$B$563,A6,Deliverables!$I$2:$I$563,"&lt;&gt;Approved / IFI",Deliverables!$H$2:$H$563,"&lt;"&amp;Config!$B$2)</f>
        <v>0</v>
      </c>
      <c r="W6" s="6">
        <f>COUNTIFS(Risks!$B$2:$B$35,A6,Risks!$K$2:$K$35,"Open")</f>
        <v>0</v>
      </c>
      <c r="X6" s="6">
        <f>COUNTIF(Allocations!$C$2:$C$73,A6)</f>
        <v>0</v>
      </c>
      <c r="Y6" s="12">
        <f t="shared" si="1"/>
        <v>94</v>
      </c>
      <c r="Z6" s="6">
        <v>0</v>
      </c>
      <c r="AA6" s="6" t="s">
        <v>138</v>
      </c>
      <c r="AB6" s="6" t="s">
        <v>163</v>
      </c>
      <c r="AC6" s="6" t="str">
        <f t="shared" si="2"/>
        <v>PRJ-011 - Utilities Reliability</v>
      </c>
      <c r="AD6" s="13" t="str">
        <f>HYPERLINK(Config!$B$3&amp;"/"&amp;AC6,"Open project folder")</f>
        <v>Open project folder</v>
      </c>
      <c r="AE6" s="6" t="str">
        <f>Config!$B$3&amp;"/"&amp;AC6</f>
        <v>PASTE-YOUR-ONEDRIVE-PROJECT-FILES-FOLDER-URL-HERE/PRJ-011 - Utilities Reliability</v>
      </c>
    </row>
    <row r="7" spans="1:31" ht="14.5" x14ac:dyDescent="0.35">
      <c r="A7" s="6" t="s">
        <v>164</v>
      </c>
      <c r="B7" s="6" t="s">
        <v>165</v>
      </c>
      <c r="C7" s="6" t="s">
        <v>166</v>
      </c>
      <c r="D7" s="6" t="s">
        <v>69</v>
      </c>
      <c r="E7" s="6" t="s">
        <v>48</v>
      </c>
      <c r="F7" s="6" t="s">
        <v>71</v>
      </c>
      <c r="G7" s="6" t="s">
        <v>104</v>
      </c>
      <c r="H7" s="6" t="s">
        <v>77</v>
      </c>
      <c r="I7" s="6" t="str">
        <f t="shared" si="0"/>
        <v>Concept / Assess</v>
      </c>
      <c r="J7" s="6" t="s">
        <v>87</v>
      </c>
      <c r="K7" s="6" t="s">
        <v>167</v>
      </c>
      <c r="L7" s="6" t="s">
        <v>168</v>
      </c>
      <c r="M7" s="12">
        <v>45</v>
      </c>
      <c r="N7" s="12">
        <v>43</v>
      </c>
      <c r="O7" s="6">
        <v>0</v>
      </c>
      <c r="P7" s="6" t="s">
        <v>84</v>
      </c>
      <c r="Q7" s="11">
        <v>46174</v>
      </c>
      <c r="R7" s="11">
        <v>46447</v>
      </c>
      <c r="S7" s="11">
        <v>46461</v>
      </c>
      <c r="T7" s="6">
        <f>COUNTIF(Deliverables!$B$2:$B$563,A7)</f>
        <v>20</v>
      </c>
      <c r="U7" s="6">
        <f>COUNTIFS(Deliverables!$B$2:$B$563,A7,Deliverables!$I$2:$I$563,"Approved / IFI")</f>
        <v>7</v>
      </c>
      <c r="V7" s="6">
        <f>COUNTIFS(Deliverables!$B$2:$B$563,A7,Deliverables!$I$2:$I$563,"&lt;&gt;Approved / IFI",Deliverables!$H$2:$H$563,"&lt;"&amp;Config!$B$2)</f>
        <v>2</v>
      </c>
      <c r="W7" s="6">
        <f>COUNTIFS(Risks!$B$2:$B$35,A7,Risks!$K$2:$K$35,"Open")</f>
        <v>0</v>
      </c>
      <c r="X7" s="6">
        <f>COUNTIF(Allocations!$C$2:$C$73,A7)</f>
        <v>1</v>
      </c>
      <c r="Y7" s="12">
        <f t="shared" si="1"/>
        <v>35</v>
      </c>
      <c r="Z7" s="6">
        <v>0</v>
      </c>
      <c r="AA7" s="6" t="s">
        <v>138</v>
      </c>
      <c r="AB7" s="6" t="s">
        <v>169</v>
      </c>
      <c r="AC7" s="6" t="str">
        <f t="shared" si="2"/>
        <v>GLB-003 - Licence Validation Programme</v>
      </c>
      <c r="AD7" s="13" t="str">
        <f>HYPERLINK(Config!$B$3&amp;"/"&amp;AC7,"Open project folder")</f>
        <v>Open project folder</v>
      </c>
      <c r="AE7" s="6" t="str">
        <f>Config!$B$3&amp;"/"&amp;AC7</f>
        <v>PASTE-YOUR-ONEDRIVE-PROJECT-FILES-FOLDER-URL-HERE/GLB-003 - Licence Validation Programme</v>
      </c>
    </row>
    <row r="8" spans="1:31" ht="14.5" x14ac:dyDescent="0.35">
      <c r="A8" s="6" t="s">
        <v>170</v>
      </c>
      <c r="B8" s="6" t="s">
        <v>171</v>
      </c>
      <c r="C8" s="6" t="s">
        <v>172</v>
      </c>
      <c r="D8" s="6" t="s">
        <v>59</v>
      </c>
      <c r="E8" s="6" t="s">
        <v>47</v>
      </c>
      <c r="F8" s="6" t="s">
        <v>71</v>
      </c>
      <c r="G8" s="6" t="s">
        <v>103</v>
      </c>
      <c r="H8" s="6" t="s">
        <v>81</v>
      </c>
      <c r="I8" s="6" t="str">
        <f t="shared" si="0"/>
        <v>Closeout / Archive</v>
      </c>
      <c r="J8" s="6" t="s">
        <v>88</v>
      </c>
      <c r="K8" s="6" t="s">
        <v>161</v>
      </c>
      <c r="L8" s="6" t="s">
        <v>162</v>
      </c>
      <c r="M8" s="12">
        <v>100</v>
      </c>
      <c r="N8" s="12">
        <v>100</v>
      </c>
      <c r="O8" s="6">
        <v>0</v>
      </c>
      <c r="P8" s="6" t="s">
        <v>84</v>
      </c>
      <c r="Q8" s="11">
        <v>45687</v>
      </c>
      <c r="R8" s="11">
        <v>46203</v>
      </c>
      <c r="S8" s="11">
        <v>46208</v>
      </c>
      <c r="T8" s="6">
        <f>COUNTIF(Deliverables!$B$2:$B$563,A8)</f>
        <v>16</v>
      </c>
      <c r="U8" s="6">
        <f>COUNTIFS(Deliverables!$B$2:$B$563,A8,Deliverables!$I$2:$I$563,"Approved / IFI")</f>
        <v>15</v>
      </c>
      <c r="V8" s="6">
        <f>COUNTIFS(Deliverables!$B$2:$B$563,A8,Deliverables!$I$2:$I$563,"&lt;&gt;Approved / IFI",Deliverables!$H$2:$H$563,"&lt;"&amp;Config!$B$2)</f>
        <v>0</v>
      </c>
      <c r="W8" s="6">
        <f>COUNTIFS(Risks!$B$2:$B$35,A8,Risks!$K$2:$K$35,"Open")</f>
        <v>0</v>
      </c>
      <c r="X8" s="6">
        <f>COUNTIF(Allocations!$C$2:$C$73,A8)</f>
        <v>0</v>
      </c>
      <c r="Y8" s="12">
        <f t="shared" si="1"/>
        <v>94</v>
      </c>
      <c r="Z8" s="6">
        <v>3</v>
      </c>
      <c r="AA8" s="6" t="s">
        <v>138</v>
      </c>
      <c r="AB8" s="6" t="s">
        <v>173</v>
      </c>
      <c r="AC8" s="6" t="str">
        <f t="shared" si="2"/>
        <v>PRJ-006 - Utility Tie-In</v>
      </c>
      <c r="AD8" s="13" t="str">
        <f>HYPERLINK(Config!$B$3&amp;"/"&amp;AC8,"Open project folder")</f>
        <v>Open project folder</v>
      </c>
      <c r="AE8" s="6" t="str">
        <f>Config!$B$3&amp;"/"&amp;AC8</f>
        <v>PASTE-YOUR-ONEDRIVE-PROJECT-FILES-FOLDER-URL-HERE/PRJ-006 - Utility Tie-In</v>
      </c>
    </row>
    <row r="9" spans="1:31" ht="14.5" x14ac:dyDescent="0.35">
      <c r="A9" s="6" t="s">
        <v>174</v>
      </c>
      <c r="B9" s="6" t="s">
        <v>175</v>
      </c>
      <c r="C9" s="6" t="s">
        <v>176</v>
      </c>
      <c r="D9" s="6" t="s">
        <v>62</v>
      </c>
      <c r="E9" s="6" t="s">
        <v>45</v>
      </c>
      <c r="F9" s="6" t="s">
        <v>71</v>
      </c>
      <c r="G9" s="6" t="s">
        <v>103</v>
      </c>
      <c r="H9" s="6" t="s">
        <v>81</v>
      </c>
      <c r="I9" s="6" t="str">
        <f t="shared" si="0"/>
        <v>Closeout / Archive</v>
      </c>
      <c r="J9" s="6" t="s">
        <v>88</v>
      </c>
      <c r="K9" s="6" t="s">
        <v>136</v>
      </c>
      <c r="L9" s="6" t="s">
        <v>137</v>
      </c>
      <c r="M9" s="12">
        <v>100</v>
      </c>
      <c r="N9" s="12">
        <v>100</v>
      </c>
      <c r="O9" s="6">
        <v>0</v>
      </c>
      <c r="P9" s="6" t="s">
        <v>83</v>
      </c>
      <c r="Q9" s="11">
        <v>45555</v>
      </c>
      <c r="R9" s="11">
        <v>46162</v>
      </c>
      <c r="S9" s="11">
        <v>46160</v>
      </c>
      <c r="T9" s="6">
        <f>COUNTIF(Deliverables!$B$2:$B$563,A9)</f>
        <v>19</v>
      </c>
      <c r="U9" s="6">
        <f>COUNTIFS(Deliverables!$B$2:$B$563,A9,Deliverables!$I$2:$I$563,"Approved / IFI")</f>
        <v>18</v>
      </c>
      <c r="V9" s="6">
        <f>COUNTIFS(Deliverables!$B$2:$B$563,A9,Deliverables!$I$2:$I$563,"&lt;&gt;Approved / IFI",Deliverables!$H$2:$H$563,"&lt;"&amp;Config!$B$2)</f>
        <v>0</v>
      </c>
      <c r="W9" s="6">
        <f>COUNTIFS(Risks!$B$2:$B$35,A9,Risks!$K$2:$K$35,"Open")</f>
        <v>0</v>
      </c>
      <c r="X9" s="6">
        <f>COUNTIF(Allocations!$C$2:$C$73,A9)</f>
        <v>0</v>
      </c>
      <c r="Y9" s="12">
        <f t="shared" si="1"/>
        <v>95</v>
      </c>
      <c r="Z9" s="6">
        <v>0</v>
      </c>
      <c r="AA9" s="6" t="s">
        <v>177</v>
      </c>
      <c r="AB9" s="6" t="s">
        <v>178</v>
      </c>
      <c r="AC9" s="6" t="str">
        <f t="shared" si="2"/>
        <v>PRJ-009 - Compressor Reliability</v>
      </c>
      <c r="AD9" s="13" t="str">
        <f>HYPERLINK(Config!$B$3&amp;"/"&amp;AC9,"Open project folder")</f>
        <v>Open project folder</v>
      </c>
      <c r="AE9" s="6" t="str">
        <f>Config!$B$3&amp;"/"&amp;AC9</f>
        <v>PASTE-YOUR-ONEDRIVE-PROJECT-FILES-FOLDER-URL-HERE/PRJ-009 - Compressor Reliability</v>
      </c>
    </row>
    <row r="10" spans="1:31" ht="14.5" x14ac:dyDescent="0.35">
      <c r="A10" s="6" t="s">
        <v>179</v>
      </c>
      <c r="B10" s="6" t="s">
        <v>180</v>
      </c>
      <c r="C10" s="6" t="s">
        <v>181</v>
      </c>
      <c r="D10" s="6" t="s">
        <v>61</v>
      </c>
      <c r="E10" s="6" t="s">
        <v>45</v>
      </c>
      <c r="F10" s="6" t="s">
        <v>71</v>
      </c>
      <c r="G10" s="6" t="s">
        <v>103</v>
      </c>
      <c r="H10" s="6" t="s">
        <v>77</v>
      </c>
      <c r="I10" s="6" t="str">
        <f t="shared" si="0"/>
        <v>Concept / Assess</v>
      </c>
      <c r="J10" s="6" t="s">
        <v>87</v>
      </c>
      <c r="K10" s="6" t="s">
        <v>182</v>
      </c>
      <c r="L10" s="6" t="s">
        <v>183</v>
      </c>
      <c r="M10" s="12">
        <v>32</v>
      </c>
      <c r="N10" s="12">
        <v>28</v>
      </c>
      <c r="O10" s="6">
        <v>3</v>
      </c>
      <c r="P10" s="6" t="s">
        <v>83</v>
      </c>
      <c r="Q10" s="11">
        <v>46122</v>
      </c>
      <c r="R10" s="11">
        <v>46397</v>
      </c>
      <c r="S10" s="11">
        <v>46402</v>
      </c>
      <c r="T10" s="6">
        <f>COUNTIF(Deliverables!$B$2:$B$563,A10)</f>
        <v>11</v>
      </c>
      <c r="U10" s="6">
        <f>COUNTIFS(Deliverables!$B$2:$B$563,A10,Deliverables!$I$2:$I$563,"Approved / IFI")</f>
        <v>3</v>
      </c>
      <c r="V10" s="6">
        <f>COUNTIFS(Deliverables!$B$2:$B$563,A10,Deliverables!$I$2:$I$563,"&lt;&gt;Approved / IFI",Deliverables!$H$2:$H$563,"&lt;"&amp;Config!$B$2)</f>
        <v>4</v>
      </c>
      <c r="W10" s="6">
        <f>COUNTIFS(Risks!$B$2:$B$35,A10,Risks!$K$2:$K$35,"Open")</f>
        <v>1</v>
      </c>
      <c r="X10" s="6">
        <f>COUNTIF(Allocations!$C$2:$C$73,A10)</f>
        <v>3</v>
      </c>
      <c r="Y10" s="12">
        <f t="shared" si="1"/>
        <v>27</v>
      </c>
      <c r="Z10" s="6">
        <v>0</v>
      </c>
      <c r="AA10" s="6" t="s">
        <v>138</v>
      </c>
      <c r="AB10" s="6" t="s">
        <v>184</v>
      </c>
      <c r="AC10" s="6" t="str">
        <f t="shared" si="2"/>
        <v>PRJ-005 - Separator Debottleneck Study</v>
      </c>
      <c r="AD10" s="13" t="str">
        <f>HYPERLINK(Config!$B$3&amp;"/"&amp;AC10,"Open project folder")</f>
        <v>Open project folder</v>
      </c>
      <c r="AE10" s="6" t="str">
        <f>Config!$B$3&amp;"/"&amp;AC10</f>
        <v>PASTE-YOUR-ONEDRIVE-PROJECT-FILES-FOLDER-URL-HERE/PRJ-005 - Separator Debottleneck Study</v>
      </c>
    </row>
    <row r="11" spans="1:31" ht="14.5" x14ac:dyDescent="0.35">
      <c r="A11" s="6" t="s">
        <v>185</v>
      </c>
      <c r="B11" s="6" t="s">
        <v>186</v>
      </c>
      <c r="C11" s="6" t="s">
        <v>181</v>
      </c>
      <c r="D11" s="6" t="s">
        <v>62</v>
      </c>
      <c r="E11" s="6" t="s">
        <v>45</v>
      </c>
      <c r="F11" s="6" t="s">
        <v>71</v>
      </c>
      <c r="G11" s="6" t="s">
        <v>103</v>
      </c>
      <c r="H11" s="6" t="s">
        <v>77</v>
      </c>
      <c r="I11" s="6" t="str">
        <f t="shared" si="0"/>
        <v>Concept / Assess</v>
      </c>
      <c r="J11" s="6" t="s">
        <v>87</v>
      </c>
      <c r="K11" s="6" t="s">
        <v>187</v>
      </c>
      <c r="L11" s="6" t="s">
        <v>137</v>
      </c>
      <c r="M11" s="12">
        <v>28</v>
      </c>
      <c r="N11" s="12">
        <v>22</v>
      </c>
      <c r="O11" s="6">
        <v>5</v>
      </c>
      <c r="P11" s="6" t="s">
        <v>84</v>
      </c>
      <c r="Q11" s="11">
        <v>46147</v>
      </c>
      <c r="R11" s="11">
        <v>46423</v>
      </c>
      <c r="S11" s="11">
        <v>46432</v>
      </c>
      <c r="T11" s="6">
        <f>COUNTIF(Deliverables!$B$2:$B$563,A11)</f>
        <v>13</v>
      </c>
      <c r="U11" s="6">
        <f>COUNTIFS(Deliverables!$B$2:$B$563,A11,Deliverables!$I$2:$I$563,"Approved / IFI")</f>
        <v>2</v>
      </c>
      <c r="V11" s="6">
        <f>COUNTIFS(Deliverables!$B$2:$B$563,A11,Deliverables!$I$2:$I$563,"&lt;&gt;Approved / IFI",Deliverables!$H$2:$H$563,"&lt;"&amp;Config!$B$2)</f>
        <v>3</v>
      </c>
      <c r="W11" s="6">
        <f>COUNTIFS(Risks!$B$2:$B$35,A11,Risks!$K$2:$K$35,"Open")</f>
        <v>1</v>
      </c>
      <c r="X11" s="6">
        <f>COUNTIF(Allocations!$C$2:$C$73,A11)</f>
        <v>3</v>
      </c>
      <c r="Y11" s="12">
        <f t="shared" si="1"/>
        <v>15</v>
      </c>
      <c r="Z11" s="6">
        <v>0</v>
      </c>
      <c r="AA11" s="6" t="s">
        <v>138</v>
      </c>
      <c r="AB11" s="6" t="s">
        <v>188</v>
      </c>
      <c r="AC11" s="6" t="str">
        <f t="shared" si="2"/>
        <v>PRJ-008 - Flare System Upgrade</v>
      </c>
      <c r="AD11" s="13" t="str">
        <f>HYPERLINK(Config!$B$3&amp;"/"&amp;AC11,"Open project folder")</f>
        <v>Open project folder</v>
      </c>
      <c r="AE11" s="6" t="str">
        <f>Config!$B$3&amp;"/"&amp;AC11</f>
        <v>PASTE-YOUR-ONEDRIVE-PROJECT-FILES-FOLDER-URL-HERE/PRJ-008 - Flare System Upgrade</v>
      </c>
    </row>
    <row r="12" spans="1:31" ht="14.5" x14ac:dyDescent="0.35">
      <c r="A12" s="6" t="s">
        <v>189</v>
      </c>
      <c r="B12" s="6" t="s">
        <v>190</v>
      </c>
      <c r="C12" s="6" t="s">
        <v>191</v>
      </c>
      <c r="D12" s="6" t="s">
        <v>63</v>
      </c>
      <c r="E12" s="6" t="s">
        <v>45</v>
      </c>
      <c r="F12" s="6" t="s">
        <v>74</v>
      </c>
      <c r="G12" s="6" t="s">
        <v>103</v>
      </c>
      <c r="H12" s="6" t="s">
        <v>78</v>
      </c>
      <c r="I12" s="6" t="str">
        <f t="shared" si="0"/>
        <v>Concept / Assess</v>
      </c>
      <c r="J12" s="6" t="s">
        <v>87</v>
      </c>
      <c r="K12" s="6" t="s">
        <v>192</v>
      </c>
      <c r="L12" s="6" t="s">
        <v>193</v>
      </c>
      <c r="M12" s="12">
        <v>40</v>
      </c>
      <c r="N12" s="12">
        <v>36</v>
      </c>
      <c r="O12" s="6">
        <v>4</v>
      </c>
      <c r="P12" s="6" t="s">
        <v>83</v>
      </c>
      <c r="Q12" s="11">
        <v>46132</v>
      </c>
      <c r="R12" s="11">
        <v>46376</v>
      </c>
      <c r="S12" s="11">
        <v>46384</v>
      </c>
      <c r="T12" s="6">
        <f>COUNTIF(Deliverables!$B$2:$B$563,A12)</f>
        <v>16</v>
      </c>
      <c r="U12" s="6">
        <f>COUNTIFS(Deliverables!$B$2:$B$563,A12,Deliverables!$I$2:$I$563,"Approved / IFI")</f>
        <v>4</v>
      </c>
      <c r="V12" s="6">
        <f>COUNTIFS(Deliverables!$B$2:$B$563,A12,Deliverables!$I$2:$I$563,"&lt;&gt;Approved / IFI",Deliverables!$H$2:$H$563,"&lt;"&amp;Config!$B$2)</f>
        <v>2</v>
      </c>
      <c r="W12" s="6">
        <f>COUNTIFS(Risks!$B$2:$B$35,A12,Risks!$K$2:$K$35,"Open")</f>
        <v>0</v>
      </c>
      <c r="X12" s="6">
        <f>COUNTIF(Allocations!$C$2:$C$73,A12)</f>
        <v>6</v>
      </c>
      <c r="Y12" s="12">
        <f t="shared" si="1"/>
        <v>25</v>
      </c>
      <c r="Z12" s="6">
        <v>0</v>
      </c>
      <c r="AA12" s="6" t="s">
        <v>138</v>
      </c>
      <c r="AB12" s="6" t="s">
        <v>194</v>
      </c>
      <c r="AC12" s="6" t="str">
        <f t="shared" si="2"/>
        <v>PRJ-013 - Wellhead Platform Modification</v>
      </c>
      <c r="AD12" s="13" t="str">
        <f>HYPERLINK(Config!$B$3&amp;"/"&amp;AC12,"Open project folder")</f>
        <v>Open project folder</v>
      </c>
      <c r="AE12" s="6" t="str">
        <f>Config!$B$3&amp;"/"&amp;AC12</f>
        <v>PASTE-YOUR-ONEDRIVE-PROJECT-FILES-FOLDER-URL-HERE/PRJ-013 - Wellhead Platform Modification</v>
      </c>
    </row>
    <row r="13" spans="1:31" ht="14.5" x14ac:dyDescent="0.35">
      <c r="A13" s="6" t="s">
        <v>195</v>
      </c>
      <c r="B13" s="6" t="s">
        <v>196</v>
      </c>
      <c r="C13" s="6" t="s">
        <v>76</v>
      </c>
      <c r="D13" s="6" t="s">
        <v>65</v>
      </c>
      <c r="E13" s="6" t="s">
        <v>45</v>
      </c>
      <c r="F13" s="6" t="s">
        <v>71</v>
      </c>
      <c r="G13" s="6" t="s">
        <v>103</v>
      </c>
      <c r="H13" s="6" t="s">
        <v>76</v>
      </c>
      <c r="I13" s="6" t="str">
        <f t="shared" si="0"/>
        <v>Concept / Assess</v>
      </c>
      <c r="J13" s="6" t="s">
        <v>87</v>
      </c>
      <c r="K13" s="6" t="s">
        <v>197</v>
      </c>
      <c r="L13" s="6" t="s">
        <v>144</v>
      </c>
      <c r="M13" s="12">
        <v>14</v>
      </c>
      <c r="N13" s="12">
        <v>11</v>
      </c>
      <c r="O13" s="6">
        <v>2</v>
      </c>
      <c r="P13" s="6" t="s">
        <v>83</v>
      </c>
      <c r="Q13" s="11">
        <v>46357</v>
      </c>
      <c r="R13" s="11">
        <v>46478</v>
      </c>
      <c r="S13" s="11">
        <v>46485</v>
      </c>
      <c r="T13" s="6">
        <f>COUNTIF(Deliverables!$B$2:$B$563,A13)</f>
        <v>8</v>
      </c>
      <c r="U13" s="6">
        <f>COUNTIFS(Deliverables!$B$2:$B$563,A13,Deliverables!$I$2:$I$563,"Approved / IFI")</f>
        <v>1</v>
      </c>
      <c r="V13" s="6">
        <f>COUNTIFS(Deliverables!$B$2:$B$563,A13,Deliverables!$I$2:$I$563,"&lt;&gt;Approved / IFI",Deliverables!$H$2:$H$563,"&lt;"&amp;Config!$B$2)</f>
        <v>1</v>
      </c>
      <c r="W13" s="6">
        <f>COUNTIFS(Risks!$B$2:$B$35,A13,Risks!$K$2:$K$35,"Open")</f>
        <v>1</v>
      </c>
      <c r="X13" s="6">
        <f>COUNTIF(Allocations!$C$2:$C$73,A13)</f>
        <v>1</v>
      </c>
      <c r="Y13" s="12">
        <f t="shared" si="1"/>
        <v>13</v>
      </c>
      <c r="Z13" s="6">
        <v>0</v>
      </c>
      <c r="AA13" s="6" t="s">
        <v>138</v>
      </c>
      <c r="AB13" s="6" t="s">
        <v>198</v>
      </c>
      <c r="AC13" s="6" t="str">
        <f t="shared" si="2"/>
        <v>PRJ-019 - Corrosion Management Programme</v>
      </c>
      <c r="AD13" s="13" t="str">
        <f>HYPERLINK(Config!$B$3&amp;"/"&amp;AC13,"Open project folder")</f>
        <v>Open project folder</v>
      </c>
      <c r="AE13" s="6" t="str">
        <f>Config!$B$3&amp;"/"&amp;AC13</f>
        <v>PASTE-YOUR-ONEDRIVE-PROJECT-FILES-FOLDER-URL-HERE/PRJ-019 - Corrosion Management Programme</v>
      </c>
    </row>
    <row r="14" spans="1:31" ht="14.5" x14ac:dyDescent="0.35">
      <c r="A14" s="6" t="s">
        <v>199</v>
      </c>
      <c r="B14" s="6" t="s">
        <v>200</v>
      </c>
      <c r="C14" s="6" t="s">
        <v>181</v>
      </c>
      <c r="D14" s="6" t="s">
        <v>68</v>
      </c>
      <c r="E14" s="6" t="s">
        <v>45</v>
      </c>
      <c r="F14" s="6" t="s">
        <v>71</v>
      </c>
      <c r="G14" s="6" t="s">
        <v>104</v>
      </c>
      <c r="H14" s="6" t="s">
        <v>77</v>
      </c>
      <c r="I14" s="6" t="str">
        <f t="shared" si="0"/>
        <v>Concept / Assess</v>
      </c>
      <c r="J14" s="6" t="s">
        <v>87</v>
      </c>
      <c r="K14" s="6" t="s">
        <v>156</v>
      </c>
      <c r="L14" s="6" t="s">
        <v>201</v>
      </c>
      <c r="M14" s="12">
        <v>30</v>
      </c>
      <c r="N14" s="12">
        <v>24</v>
      </c>
      <c r="O14" s="6">
        <v>6</v>
      </c>
      <c r="P14" s="6" t="s">
        <v>84</v>
      </c>
      <c r="Q14" s="11">
        <v>46198</v>
      </c>
      <c r="R14" s="11">
        <v>46412</v>
      </c>
      <c r="S14" s="11">
        <v>46423</v>
      </c>
      <c r="T14" s="6">
        <f>COUNTIF(Deliverables!$B$2:$B$563,A14)</f>
        <v>13</v>
      </c>
      <c r="U14" s="6">
        <f>COUNTIFS(Deliverables!$B$2:$B$563,A14,Deliverables!$I$2:$I$563,"Approved / IFI")</f>
        <v>3</v>
      </c>
      <c r="V14" s="6">
        <f>COUNTIFS(Deliverables!$B$2:$B$563,A14,Deliverables!$I$2:$I$563,"&lt;&gt;Approved / IFI",Deliverables!$H$2:$H$563,"&lt;"&amp;Config!$B$2)</f>
        <v>2</v>
      </c>
      <c r="W14" s="6">
        <f>COUNTIFS(Risks!$B$2:$B$35,A14,Risks!$K$2:$K$35,"Open")</f>
        <v>4</v>
      </c>
      <c r="X14" s="6">
        <f>COUNTIF(Allocations!$C$2:$C$73,A14)</f>
        <v>2</v>
      </c>
      <c r="Y14" s="12">
        <f t="shared" si="1"/>
        <v>23</v>
      </c>
      <c r="Z14" s="6">
        <v>0</v>
      </c>
      <c r="AA14" s="6" t="s">
        <v>138</v>
      </c>
      <c r="AB14" s="6" t="s">
        <v>202</v>
      </c>
      <c r="AC14" s="6" t="str">
        <f t="shared" si="2"/>
        <v>PRJ-023 - Digital Field Monitoring</v>
      </c>
      <c r="AD14" s="13" t="str">
        <f>HYPERLINK(Config!$B$3&amp;"/"&amp;AC14,"Open project folder")</f>
        <v>Open project folder</v>
      </c>
      <c r="AE14" s="6" t="str">
        <f>Config!$B$3&amp;"/"&amp;AC14</f>
        <v>PASTE-YOUR-ONEDRIVE-PROJECT-FILES-FOLDER-URL-HERE/PRJ-023 - Digital Field Monitoring</v>
      </c>
    </row>
    <row r="15" spans="1:31" ht="14.5" x14ac:dyDescent="0.35">
      <c r="A15" s="6" t="s">
        <v>203</v>
      </c>
      <c r="B15" s="6" t="s">
        <v>204</v>
      </c>
      <c r="C15" s="6" t="s">
        <v>205</v>
      </c>
      <c r="D15" s="6" t="s">
        <v>69</v>
      </c>
      <c r="E15" s="6" t="s">
        <v>48</v>
      </c>
      <c r="F15" s="6" t="s">
        <v>71</v>
      </c>
      <c r="G15" s="6" t="s">
        <v>104</v>
      </c>
      <c r="H15" s="6" t="s">
        <v>78</v>
      </c>
      <c r="I15" s="6" t="str">
        <f t="shared" si="0"/>
        <v>Concept / Assess</v>
      </c>
      <c r="J15" s="6" t="s">
        <v>87</v>
      </c>
      <c r="K15" s="6" t="s">
        <v>167</v>
      </c>
      <c r="L15" s="6" t="s">
        <v>168</v>
      </c>
      <c r="M15" s="12">
        <v>38</v>
      </c>
      <c r="N15" s="12">
        <v>35</v>
      </c>
      <c r="O15" s="6">
        <v>3</v>
      </c>
      <c r="P15" s="6" t="s">
        <v>83</v>
      </c>
      <c r="Q15" s="11">
        <v>46091</v>
      </c>
      <c r="R15" s="11">
        <v>46366</v>
      </c>
      <c r="S15" s="11">
        <v>46372</v>
      </c>
      <c r="T15" s="6">
        <f>COUNTIF(Deliverables!$B$2:$B$563,A15)</f>
        <v>13</v>
      </c>
      <c r="U15" s="6">
        <f>COUNTIFS(Deliverables!$B$2:$B$563,A15,Deliverables!$I$2:$I$563,"Approved / IFI")</f>
        <v>5</v>
      </c>
      <c r="V15" s="6">
        <f>COUNTIFS(Deliverables!$B$2:$B$563,A15,Deliverables!$I$2:$I$563,"&lt;&gt;Approved / IFI",Deliverables!$H$2:$H$563,"&lt;"&amp;Config!$B$2)</f>
        <v>1</v>
      </c>
      <c r="W15" s="6">
        <f>COUNTIFS(Risks!$B$2:$B$35,A15,Risks!$K$2:$K$35,"Open")</f>
        <v>0</v>
      </c>
      <c r="X15" s="6">
        <f>COUNTIF(Allocations!$C$2:$C$73,A15)</f>
        <v>0</v>
      </c>
      <c r="Y15" s="12">
        <f t="shared" si="1"/>
        <v>38</v>
      </c>
      <c r="Z15" s="6">
        <v>0</v>
      </c>
      <c r="AA15" s="6" t="s">
        <v>138</v>
      </c>
      <c r="AB15" s="6" t="s">
        <v>206</v>
      </c>
      <c r="AC15" s="6" t="str">
        <f t="shared" si="2"/>
        <v>GLB-004 - HSE Case Revalidation</v>
      </c>
      <c r="AD15" s="13" t="str">
        <f>HYPERLINK(Config!$B$3&amp;"/"&amp;AC15,"Open project folder")</f>
        <v>Open project folder</v>
      </c>
      <c r="AE15" s="6" t="str">
        <f>Config!$B$3&amp;"/"&amp;AC15</f>
        <v>PASTE-YOUR-ONEDRIVE-PROJECT-FILES-FOLDER-URL-HERE/GLB-004 - HSE Case Revalidation</v>
      </c>
    </row>
    <row r="16" spans="1:31" ht="14.5" x14ac:dyDescent="0.35">
      <c r="A16" s="6" t="s">
        <v>207</v>
      </c>
      <c r="B16" s="6" t="s">
        <v>208</v>
      </c>
      <c r="C16" s="6" t="s">
        <v>209</v>
      </c>
      <c r="D16" s="6" t="s">
        <v>59</v>
      </c>
      <c r="E16" s="6" t="s">
        <v>45</v>
      </c>
      <c r="F16" s="6" t="s">
        <v>73</v>
      </c>
      <c r="G16" s="6" t="s">
        <v>103</v>
      </c>
      <c r="H16" s="6" t="s">
        <v>79</v>
      </c>
      <c r="I16" s="6" t="str">
        <f t="shared" si="0"/>
        <v>Define</v>
      </c>
      <c r="J16" s="6" t="s">
        <v>87</v>
      </c>
      <c r="K16" s="6" t="s">
        <v>161</v>
      </c>
      <c r="L16" s="6" t="s">
        <v>162</v>
      </c>
      <c r="M16" s="12">
        <v>58</v>
      </c>
      <c r="N16" s="12">
        <v>51</v>
      </c>
      <c r="O16" s="6">
        <v>5</v>
      </c>
      <c r="P16" s="6" t="s">
        <v>84</v>
      </c>
      <c r="Q16" s="11">
        <v>46073</v>
      </c>
      <c r="R16" s="11">
        <v>46346</v>
      </c>
      <c r="S16" s="11">
        <v>46356</v>
      </c>
      <c r="T16" s="6">
        <f>COUNTIF(Deliverables!$B$2:$B$563,A16)</f>
        <v>22</v>
      </c>
      <c r="U16" s="6">
        <f>COUNTIFS(Deliverables!$B$2:$B$563,A16,Deliverables!$I$2:$I$563,"Approved / IFI")</f>
        <v>10</v>
      </c>
      <c r="V16" s="6">
        <f>COUNTIFS(Deliverables!$B$2:$B$563,A16,Deliverables!$I$2:$I$563,"&lt;&gt;Approved / IFI",Deliverables!$H$2:$H$563,"&lt;"&amp;Config!$B$2)</f>
        <v>3</v>
      </c>
      <c r="W16" s="6">
        <f>COUNTIFS(Risks!$B$2:$B$35,A16,Risks!$K$2:$K$35,"Open")</f>
        <v>0</v>
      </c>
      <c r="X16" s="6">
        <f>COUNTIF(Allocations!$C$2:$C$73,A16)</f>
        <v>3</v>
      </c>
      <c r="Y16" s="12">
        <f t="shared" si="1"/>
        <v>45</v>
      </c>
      <c r="Z16" s="6">
        <v>0</v>
      </c>
      <c r="AA16" s="6" t="s">
        <v>138</v>
      </c>
      <c r="AB16" s="6" t="s">
        <v>210</v>
      </c>
      <c r="AC16" s="6" t="str">
        <f t="shared" si="2"/>
        <v>PRJ-001 - Wellhead Flowline Replacement</v>
      </c>
      <c r="AD16" s="13" t="str">
        <f>HYPERLINK(Config!$B$3&amp;"/"&amp;AC16,"Open project folder")</f>
        <v>Open project folder</v>
      </c>
      <c r="AE16" s="6" t="str">
        <f>Config!$B$3&amp;"/"&amp;AC16</f>
        <v>PASTE-YOUR-ONEDRIVE-PROJECT-FILES-FOLDER-URL-HERE/PRJ-001 - Wellhead Flowline Replacement</v>
      </c>
    </row>
    <row r="17" spans="1:31" ht="14.5" x14ac:dyDescent="0.35">
      <c r="A17" s="6" t="s">
        <v>211</v>
      </c>
      <c r="B17" s="6" t="s">
        <v>212</v>
      </c>
      <c r="C17" s="6" t="s">
        <v>209</v>
      </c>
      <c r="D17" s="6" t="s">
        <v>60</v>
      </c>
      <c r="E17" s="6" t="s">
        <v>45</v>
      </c>
      <c r="F17" s="6" t="s">
        <v>71</v>
      </c>
      <c r="G17" s="6" t="s">
        <v>103</v>
      </c>
      <c r="H17" s="6" t="s">
        <v>79</v>
      </c>
      <c r="I17" s="6" t="str">
        <f t="shared" si="0"/>
        <v>Define</v>
      </c>
      <c r="J17" s="6" t="s">
        <v>87</v>
      </c>
      <c r="K17" s="6" t="s">
        <v>149</v>
      </c>
      <c r="L17" s="6" t="s">
        <v>150</v>
      </c>
      <c r="M17" s="12">
        <v>62</v>
      </c>
      <c r="N17" s="12">
        <v>57</v>
      </c>
      <c r="O17" s="6">
        <v>3</v>
      </c>
      <c r="P17" s="6" t="s">
        <v>83</v>
      </c>
      <c r="Q17" s="11">
        <v>45960</v>
      </c>
      <c r="R17" s="11">
        <v>46325</v>
      </c>
      <c r="S17" s="11">
        <v>46331</v>
      </c>
      <c r="T17" s="6">
        <f>COUNTIF(Deliverables!$B$2:$B$563,A17)</f>
        <v>16</v>
      </c>
      <c r="U17" s="6">
        <f>COUNTIFS(Deliverables!$B$2:$B$563,A17,Deliverables!$I$2:$I$563,"Approved / IFI")</f>
        <v>10</v>
      </c>
      <c r="V17" s="6">
        <f>COUNTIFS(Deliverables!$B$2:$B$563,A17,Deliverables!$I$2:$I$563,"&lt;&gt;Approved / IFI",Deliverables!$H$2:$H$563,"&lt;"&amp;Config!$B$2)</f>
        <v>1</v>
      </c>
      <c r="W17" s="6">
        <f>COUNTIFS(Risks!$B$2:$B$35,A17,Risks!$K$2:$K$35,"Open")</f>
        <v>2</v>
      </c>
      <c r="X17" s="6">
        <f>COUNTIF(Allocations!$C$2:$C$73,A17)</f>
        <v>2</v>
      </c>
      <c r="Y17" s="12">
        <f t="shared" si="1"/>
        <v>63</v>
      </c>
      <c r="Z17" s="6">
        <v>0</v>
      </c>
      <c r="AA17" s="6" t="s">
        <v>138</v>
      </c>
      <c r="AB17" s="6" t="s">
        <v>213</v>
      </c>
      <c r="AC17" s="6" t="str">
        <f t="shared" si="2"/>
        <v>PRJ-003 - Chemical Injection Upgrade</v>
      </c>
      <c r="AD17" s="13" t="str">
        <f>HYPERLINK(Config!$B$3&amp;"/"&amp;AC17,"Open project folder")</f>
        <v>Open project folder</v>
      </c>
      <c r="AE17" s="6" t="str">
        <f>Config!$B$3&amp;"/"&amp;AC17</f>
        <v>PASTE-YOUR-ONEDRIVE-PROJECT-FILES-FOLDER-URL-HERE/PRJ-003 - Chemical Injection Upgrade</v>
      </c>
    </row>
    <row r="18" spans="1:31" ht="14.5" x14ac:dyDescent="0.35">
      <c r="A18" s="6" t="s">
        <v>214</v>
      </c>
      <c r="B18" s="6" t="s">
        <v>215</v>
      </c>
      <c r="C18" s="6" t="s">
        <v>209</v>
      </c>
      <c r="D18" s="6" t="s">
        <v>62</v>
      </c>
      <c r="E18" s="6" t="s">
        <v>45</v>
      </c>
      <c r="F18" s="6" t="s">
        <v>74</v>
      </c>
      <c r="G18" s="6" t="s">
        <v>103</v>
      </c>
      <c r="H18" s="6" t="s">
        <v>79</v>
      </c>
      <c r="I18" s="6" t="str">
        <f t="shared" si="0"/>
        <v>Define</v>
      </c>
      <c r="J18" s="6" t="s">
        <v>87</v>
      </c>
      <c r="K18" s="6" t="s">
        <v>136</v>
      </c>
      <c r="L18" s="6" t="s">
        <v>137</v>
      </c>
      <c r="M18" s="12">
        <v>55</v>
      </c>
      <c r="N18" s="12">
        <v>47</v>
      </c>
      <c r="O18" s="6">
        <v>8</v>
      </c>
      <c r="P18" s="6" t="s">
        <v>84</v>
      </c>
      <c r="Q18" s="11">
        <v>45966</v>
      </c>
      <c r="R18" s="11">
        <v>46361</v>
      </c>
      <c r="S18" s="11">
        <v>46376</v>
      </c>
      <c r="T18" s="6">
        <f>COUNTIF(Deliverables!$B$2:$B$563,A18)</f>
        <v>22</v>
      </c>
      <c r="U18" s="6">
        <f>COUNTIFS(Deliverables!$B$2:$B$563,A18,Deliverables!$I$2:$I$563,"Approved / IFI")</f>
        <v>10</v>
      </c>
      <c r="V18" s="6">
        <f>COUNTIFS(Deliverables!$B$2:$B$563,A18,Deliverables!$I$2:$I$563,"&lt;&gt;Approved / IFI",Deliverables!$H$2:$H$563,"&lt;"&amp;Config!$B$2)</f>
        <v>2</v>
      </c>
      <c r="W18" s="6">
        <f>COUNTIFS(Risks!$B$2:$B$35,A18,Risks!$K$2:$K$35,"Open")</f>
        <v>0</v>
      </c>
      <c r="X18" s="6">
        <f>COUNTIF(Allocations!$C$2:$C$73,A18)</f>
        <v>3</v>
      </c>
      <c r="Y18" s="12">
        <f t="shared" si="1"/>
        <v>45</v>
      </c>
      <c r="Z18" s="6">
        <v>0</v>
      </c>
      <c r="AA18" s="6" t="s">
        <v>138</v>
      </c>
      <c r="AB18" s="6" t="s">
        <v>216</v>
      </c>
      <c r="AC18" s="6" t="str">
        <f t="shared" si="2"/>
        <v>PRJ-007 - Compressor Train Automation</v>
      </c>
      <c r="AD18" s="13" t="str">
        <f>HYPERLINK(Config!$B$3&amp;"/"&amp;AC18,"Open project folder")</f>
        <v>Open project folder</v>
      </c>
      <c r="AE18" s="6" t="str">
        <f>Config!$B$3&amp;"/"&amp;AC18</f>
        <v>PASTE-YOUR-ONEDRIVE-PROJECT-FILES-FOLDER-URL-HERE/PRJ-007 - Compressor Train Automation</v>
      </c>
    </row>
    <row r="19" spans="1:31" ht="14.5" x14ac:dyDescent="0.35">
      <c r="A19" s="6" t="s">
        <v>217</v>
      </c>
      <c r="B19" s="6" t="s">
        <v>218</v>
      </c>
      <c r="C19" s="6" t="s">
        <v>209</v>
      </c>
      <c r="D19" s="6" t="s">
        <v>63</v>
      </c>
      <c r="E19" s="6" t="s">
        <v>45</v>
      </c>
      <c r="F19" s="6" t="s">
        <v>71</v>
      </c>
      <c r="G19" s="6" t="s">
        <v>103</v>
      </c>
      <c r="H19" s="6" t="s">
        <v>79</v>
      </c>
      <c r="I19" s="6" t="str">
        <f t="shared" si="0"/>
        <v>Define</v>
      </c>
      <c r="J19" s="6" t="s">
        <v>87</v>
      </c>
      <c r="K19" s="6" t="s">
        <v>192</v>
      </c>
      <c r="L19" s="6" t="s">
        <v>193</v>
      </c>
      <c r="M19" s="12">
        <v>50</v>
      </c>
      <c r="N19" s="12">
        <v>44</v>
      </c>
      <c r="O19" s="6">
        <v>6</v>
      </c>
      <c r="P19" s="6" t="s">
        <v>84</v>
      </c>
      <c r="Q19" s="11">
        <v>46037</v>
      </c>
      <c r="R19" s="11">
        <v>46402</v>
      </c>
      <c r="S19" s="11">
        <v>46415</v>
      </c>
      <c r="T19" s="6">
        <f>COUNTIF(Deliverables!$B$2:$B$563,A19)</f>
        <v>20</v>
      </c>
      <c r="U19" s="6">
        <f>COUNTIFS(Deliverables!$B$2:$B$563,A19,Deliverables!$I$2:$I$563,"Approved / IFI")</f>
        <v>10</v>
      </c>
      <c r="V19" s="6">
        <f>COUNTIFS(Deliverables!$B$2:$B$563,A19,Deliverables!$I$2:$I$563,"&lt;&gt;Approved / IFI",Deliverables!$H$2:$H$563,"&lt;"&amp;Config!$B$2)</f>
        <v>0</v>
      </c>
      <c r="W19" s="6">
        <f>COUNTIFS(Risks!$B$2:$B$35,A19,Risks!$K$2:$K$35,"Open")</f>
        <v>1</v>
      </c>
      <c r="X19" s="6">
        <f>COUNTIF(Allocations!$C$2:$C$73,A19)</f>
        <v>5</v>
      </c>
      <c r="Y19" s="12">
        <f t="shared" si="1"/>
        <v>50</v>
      </c>
      <c r="Z19" s="6">
        <v>0</v>
      </c>
      <c r="AA19" s="6" t="s">
        <v>138</v>
      </c>
      <c r="AB19" s="6" t="s">
        <v>219</v>
      </c>
      <c r="AC19" s="6" t="str">
        <f t="shared" si="2"/>
        <v>PRJ-010 - Produced Water Reinjection</v>
      </c>
      <c r="AD19" s="13" t="str">
        <f>HYPERLINK(Config!$B$3&amp;"/"&amp;AC19,"Open project folder")</f>
        <v>Open project folder</v>
      </c>
      <c r="AE19" s="6" t="str">
        <f>Config!$B$3&amp;"/"&amp;AC19</f>
        <v>PASTE-YOUR-ONEDRIVE-PROJECT-FILES-FOLDER-URL-HERE/PRJ-010 - Produced Water Reinjection</v>
      </c>
    </row>
    <row r="20" spans="1:31" ht="14.5" x14ac:dyDescent="0.35">
      <c r="A20" s="6" t="s">
        <v>220</v>
      </c>
      <c r="B20" s="6" t="s">
        <v>221</v>
      </c>
      <c r="C20" s="6" t="s">
        <v>209</v>
      </c>
      <c r="D20" s="6" t="s">
        <v>64</v>
      </c>
      <c r="E20" s="6" t="s">
        <v>45</v>
      </c>
      <c r="F20" s="6" t="s">
        <v>73</v>
      </c>
      <c r="G20" s="6" t="s">
        <v>103</v>
      </c>
      <c r="H20" s="6" t="s">
        <v>79</v>
      </c>
      <c r="I20" s="6" t="str">
        <f t="shared" si="0"/>
        <v>Define</v>
      </c>
      <c r="J20" s="6" t="s">
        <v>87</v>
      </c>
      <c r="K20" s="6" t="s">
        <v>222</v>
      </c>
      <c r="L20" s="6" t="s">
        <v>201</v>
      </c>
      <c r="M20" s="12">
        <v>63</v>
      </c>
      <c r="N20" s="12">
        <v>60</v>
      </c>
      <c r="O20" s="6">
        <v>2</v>
      </c>
      <c r="P20" s="6" t="s">
        <v>83</v>
      </c>
      <c r="Q20" s="11">
        <v>45908</v>
      </c>
      <c r="R20" s="11">
        <v>46303</v>
      </c>
      <c r="S20" s="11">
        <v>46305</v>
      </c>
      <c r="T20" s="6">
        <f>COUNTIF(Deliverables!$B$2:$B$563,A20)</f>
        <v>17</v>
      </c>
      <c r="U20" s="6">
        <f>COUNTIFS(Deliverables!$B$2:$B$563,A20,Deliverables!$I$2:$I$563,"Approved / IFI")</f>
        <v>11</v>
      </c>
      <c r="V20" s="6">
        <f>COUNTIFS(Deliverables!$B$2:$B$563,A20,Deliverables!$I$2:$I$563,"&lt;&gt;Approved / IFI",Deliverables!$H$2:$H$563,"&lt;"&amp;Config!$B$2)</f>
        <v>0</v>
      </c>
      <c r="W20" s="6">
        <f>COUNTIFS(Risks!$B$2:$B$35,A20,Risks!$K$2:$K$35,"Open")</f>
        <v>0</v>
      </c>
      <c r="X20" s="6">
        <f>COUNTIF(Allocations!$C$2:$C$73,A20)</f>
        <v>1</v>
      </c>
      <c r="Y20" s="12">
        <f t="shared" si="1"/>
        <v>65</v>
      </c>
      <c r="Z20" s="6">
        <v>0</v>
      </c>
      <c r="AA20" s="6" t="s">
        <v>138</v>
      </c>
      <c r="AB20" s="6" t="s">
        <v>223</v>
      </c>
      <c r="AC20" s="6" t="str">
        <f t="shared" si="2"/>
        <v>PRJ-014 - Power Generation Upgrade</v>
      </c>
      <c r="AD20" s="13" t="str">
        <f>HYPERLINK(Config!$B$3&amp;"/"&amp;AC20,"Open project folder")</f>
        <v>Open project folder</v>
      </c>
      <c r="AE20" s="6" t="str">
        <f>Config!$B$3&amp;"/"&amp;AC20</f>
        <v>PASTE-YOUR-ONEDRIVE-PROJECT-FILES-FOLDER-URL-HERE/PRJ-014 - Power Generation Upgrade</v>
      </c>
    </row>
    <row r="21" spans="1:31" ht="14.5" x14ac:dyDescent="0.35">
      <c r="A21" s="6" t="s">
        <v>224</v>
      </c>
      <c r="B21" s="6" t="s">
        <v>225</v>
      </c>
      <c r="C21" s="6" t="s">
        <v>209</v>
      </c>
      <c r="D21" s="6" t="s">
        <v>66</v>
      </c>
      <c r="E21" s="6" t="s">
        <v>45</v>
      </c>
      <c r="F21" s="6" t="s">
        <v>71</v>
      </c>
      <c r="G21" s="6" t="s">
        <v>103</v>
      </c>
      <c r="H21" s="6" t="s">
        <v>79</v>
      </c>
      <c r="I21" s="6" t="str">
        <f t="shared" si="0"/>
        <v>Define</v>
      </c>
      <c r="J21" s="6" t="s">
        <v>87</v>
      </c>
      <c r="K21" s="6" t="s">
        <v>226</v>
      </c>
      <c r="L21" s="6" t="s">
        <v>168</v>
      </c>
      <c r="M21" s="12">
        <v>46</v>
      </c>
      <c r="N21" s="12">
        <v>40</v>
      </c>
      <c r="O21" s="6">
        <v>7</v>
      </c>
      <c r="P21" s="6" t="s">
        <v>84</v>
      </c>
      <c r="Q21" s="11">
        <v>46065</v>
      </c>
      <c r="R21" s="11">
        <v>46430</v>
      </c>
      <c r="S21" s="11">
        <v>46443</v>
      </c>
      <c r="T21" s="6">
        <f>COUNTIF(Deliverables!$B$2:$B$563,A21)</f>
        <v>20</v>
      </c>
      <c r="U21" s="6">
        <f>COUNTIFS(Deliverables!$B$2:$B$563,A21,Deliverables!$I$2:$I$563,"Approved / IFI")</f>
        <v>8</v>
      </c>
      <c r="V21" s="6">
        <f>COUNTIFS(Deliverables!$B$2:$B$563,A21,Deliverables!$I$2:$I$563,"&lt;&gt;Approved / IFI",Deliverables!$H$2:$H$563,"&lt;"&amp;Config!$B$2)</f>
        <v>0</v>
      </c>
      <c r="W21" s="6">
        <f>COUNTIFS(Risks!$B$2:$B$35,A21,Risks!$K$2:$K$35,"Open")</f>
        <v>3</v>
      </c>
      <c r="X21" s="6">
        <f>COUNTIF(Allocations!$C$2:$C$73,A21)</f>
        <v>6</v>
      </c>
      <c r="Y21" s="12">
        <f t="shared" si="1"/>
        <v>40</v>
      </c>
      <c r="Z21" s="6">
        <v>0</v>
      </c>
      <c r="AA21" s="6" t="s">
        <v>138</v>
      </c>
      <c r="AB21" s="6" t="s">
        <v>227</v>
      </c>
      <c r="AC21" s="6" t="str">
        <f t="shared" si="2"/>
        <v>PRJ-020 - SCADA Modernisation</v>
      </c>
      <c r="AD21" s="13" t="str">
        <f>HYPERLINK(Config!$B$3&amp;"/"&amp;AC21,"Open project folder")</f>
        <v>Open project folder</v>
      </c>
      <c r="AE21" s="6" t="str">
        <f>Config!$B$3&amp;"/"&amp;AC21</f>
        <v>PASTE-YOUR-ONEDRIVE-PROJECT-FILES-FOLDER-URL-HERE/PRJ-020 - SCADA Modernisation</v>
      </c>
    </row>
    <row r="22" spans="1:31" ht="14.5" x14ac:dyDescent="0.35">
      <c r="A22" s="6" t="s">
        <v>228</v>
      </c>
      <c r="B22" s="6" t="s">
        <v>229</v>
      </c>
      <c r="C22" s="6" t="s">
        <v>209</v>
      </c>
      <c r="D22" s="6" t="s">
        <v>69</v>
      </c>
      <c r="E22" s="6" t="s">
        <v>48</v>
      </c>
      <c r="F22" s="6" t="s">
        <v>71</v>
      </c>
      <c r="G22" s="6" t="s">
        <v>104</v>
      </c>
      <c r="H22" s="6" t="s">
        <v>79</v>
      </c>
      <c r="I22" s="6" t="str">
        <f t="shared" si="0"/>
        <v>Define</v>
      </c>
      <c r="J22" s="6" t="s">
        <v>87</v>
      </c>
      <c r="K22" s="6" t="s">
        <v>167</v>
      </c>
      <c r="L22" s="6" t="s">
        <v>168</v>
      </c>
      <c r="M22" s="12">
        <v>49</v>
      </c>
      <c r="N22" s="12">
        <v>45</v>
      </c>
      <c r="O22" s="6">
        <v>4</v>
      </c>
      <c r="P22" s="6" t="s">
        <v>83</v>
      </c>
      <c r="Q22" s="11">
        <v>46058</v>
      </c>
      <c r="R22" s="11">
        <v>46392</v>
      </c>
      <c r="S22" s="11">
        <v>46399</v>
      </c>
      <c r="T22" s="6">
        <f>COUNTIF(Deliverables!$B$2:$B$563,A22)</f>
        <v>22</v>
      </c>
      <c r="U22" s="6">
        <f>COUNTIFS(Deliverables!$B$2:$B$563,A22,Deliverables!$I$2:$I$563,"Approved / IFI")</f>
        <v>10</v>
      </c>
      <c r="V22" s="6">
        <f>COUNTIFS(Deliverables!$B$2:$B$563,A22,Deliverables!$I$2:$I$563,"&lt;&gt;Approved / IFI",Deliverables!$H$2:$H$563,"&lt;"&amp;Config!$B$2)</f>
        <v>0</v>
      </c>
      <c r="W22" s="6">
        <f>COUNTIFS(Risks!$B$2:$B$35,A22,Risks!$K$2:$K$35,"Open")</f>
        <v>3</v>
      </c>
      <c r="X22" s="6">
        <f>COUNTIF(Allocations!$C$2:$C$73,A22)</f>
        <v>2</v>
      </c>
      <c r="Y22" s="12">
        <f t="shared" si="1"/>
        <v>45</v>
      </c>
      <c r="Z22" s="6">
        <v>0</v>
      </c>
      <c r="AA22" s="6" t="s">
        <v>138</v>
      </c>
      <c r="AB22" s="6" t="s">
        <v>230</v>
      </c>
      <c r="AC22" s="6" t="str">
        <f t="shared" si="2"/>
        <v>GLB-005 - Pipeline Integrity Digitalisation</v>
      </c>
      <c r="AD22" s="13" t="str">
        <f>HYPERLINK(Config!$B$3&amp;"/"&amp;AC22,"Open project folder")</f>
        <v>Open project folder</v>
      </c>
      <c r="AE22" s="6" t="str">
        <f>Config!$B$3&amp;"/"&amp;AC22</f>
        <v>PASTE-YOUR-ONEDRIVE-PROJECT-FILES-FOLDER-URL-HERE/GLB-005 - Pipeline Integrity Digitalisation</v>
      </c>
    </row>
    <row r="23" spans="1:31" ht="14.5" x14ac:dyDescent="0.35">
      <c r="A23" s="6" t="s">
        <v>231</v>
      </c>
      <c r="B23" s="6" t="s">
        <v>232</v>
      </c>
      <c r="C23" s="6" t="s">
        <v>233</v>
      </c>
      <c r="D23" s="6" t="s">
        <v>59</v>
      </c>
      <c r="E23" s="6" t="s">
        <v>47</v>
      </c>
      <c r="F23" s="6" t="s">
        <v>73</v>
      </c>
      <c r="G23" s="6" t="s">
        <v>103</v>
      </c>
      <c r="H23" s="6" t="s">
        <v>80</v>
      </c>
      <c r="I23" s="6" t="str">
        <f t="shared" si="0"/>
        <v>Execute</v>
      </c>
      <c r="J23" s="6" t="s">
        <v>87</v>
      </c>
      <c r="K23" s="6" t="s">
        <v>161</v>
      </c>
      <c r="L23" s="6" t="s">
        <v>162</v>
      </c>
      <c r="M23" s="12">
        <v>80</v>
      </c>
      <c r="N23" s="12">
        <v>76</v>
      </c>
      <c r="O23" s="6">
        <v>4</v>
      </c>
      <c r="P23" s="6" t="s">
        <v>84</v>
      </c>
      <c r="Q23" s="11">
        <v>45772</v>
      </c>
      <c r="R23" s="11">
        <v>46290</v>
      </c>
      <c r="S23" s="11">
        <v>46297</v>
      </c>
      <c r="T23" s="6">
        <f>COUNTIF(Deliverables!$B$2:$B$563,A23)</f>
        <v>21</v>
      </c>
      <c r="U23" s="6">
        <f>COUNTIFS(Deliverables!$B$2:$B$563,A23,Deliverables!$I$2:$I$563,"Approved / IFI")</f>
        <v>16</v>
      </c>
      <c r="V23" s="6">
        <f>COUNTIFS(Deliverables!$B$2:$B$563,A23,Deliverables!$I$2:$I$563,"&lt;&gt;Approved / IFI",Deliverables!$H$2:$H$563,"&lt;"&amp;Config!$B$2)</f>
        <v>0</v>
      </c>
      <c r="W23" s="6">
        <f>COUNTIFS(Risks!$B$2:$B$35,A23,Risks!$K$2:$K$35,"Open")</f>
        <v>1</v>
      </c>
      <c r="X23" s="6">
        <f>COUNTIF(Allocations!$C$2:$C$73,A23)</f>
        <v>3</v>
      </c>
      <c r="Y23" s="12">
        <f t="shared" si="1"/>
        <v>76</v>
      </c>
      <c r="Z23" s="6">
        <v>0</v>
      </c>
      <c r="AA23" s="6" t="s">
        <v>138</v>
      </c>
      <c r="AB23" s="6" t="s">
        <v>234</v>
      </c>
      <c r="AC23" s="6" t="str">
        <f t="shared" si="2"/>
        <v>PRJ-004 - Fire and Gas System Renewal</v>
      </c>
      <c r="AD23" s="13" t="str">
        <f>HYPERLINK(Config!$B$3&amp;"/"&amp;AC23,"Open project folder")</f>
        <v>Open project folder</v>
      </c>
      <c r="AE23" s="6" t="str">
        <f>Config!$B$3&amp;"/"&amp;AC23</f>
        <v>PASTE-YOUR-ONEDRIVE-PROJECT-FILES-FOLDER-URL-HERE/PRJ-004 - Fire and Gas System Renewal</v>
      </c>
    </row>
    <row r="24" spans="1:31" ht="14.5" x14ac:dyDescent="0.35">
      <c r="A24" s="6" t="s">
        <v>235</v>
      </c>
      <c r="B24" s="6" t="s">
        <v>236</v>
      </c>
      <c r="C24" s="6" t="s">
        <v>233</v>
      </c>
      <c r="D24" s="6" t="s">
        <v>62</v>
      </c>
      <c r="E24" s="6" t="s">
        <v>47</v>
      </c>
      <c r="F24" s="6" t="s">
        <v>71</v>
      </c>
      <c r="G24" s="6" t="s">
        <v>103</v>
      </c>
      <c r="H24" s="6" t="s">
        <v>80</v>
      </c>
      <c r="I24" s="6" t="str">
        <f t="shared" si="0"/>
        <v>Execute</v>
      </c>
      <c r="J24" s="6" t="s">
        <v>87</v>
      </c>
      <c r="K24" s="6" t="s">
        <v>136</v>
      </c>
      <c r="L24" s="6" t="s">
        <v>137</v>
      </c>
      <c r="M24" s="12">
        <v>88</v>
      </c>
      <c r="N24" s="12">
        <v>91</v>
      </c>
      <c r="O24" s="6">
        <v>-3</v>
      </c>
      <c r="P24" s="6" t="s">
        <v>83</v>
      </c>
      <c r="Q24" s="11">
        <v>45693</v>
      </c>
      <c r="R24" s="11">
        <v>46270</v>
      </c>
      <c r="S24" s="11">
        <v>46267</v>
      </c>
      <c r="T24" s="6">
        <f>COUNTIF(Deliverables!$B$2:$B$563,A24)</f>
        <v>26</v>
      </c>
      <c r="U24" s="6">
        <f>COUNTIFS(Deliverables!$B$2:$B$563,A24,Deliverables!$I$2:$I$563,"Approved / IFI")</f>
        <v>23</v>
      </c>
      <c r="V24" s="6">
        <f>COUNTIFS(Deliverables!$B$2:$B$563,A24,Deliverables!$I$2:$I$563,"&lt;&gt;Approved / IFI",Deliverables!$H$2:$H$563,"&lt;"&amp;Config!$B$2)</f>
        <v>0</v>
      </c>
      <c r="W24" s="6">
        <f>COUNTIFS(Risks!$B$2:$B$35,A24,Risks!$K$2:$K$35,"Open")</f>
        <v>1</v>
      </c>
      <c r="X24" s="6">
        <f>COUNTIF(Allocations!$C$2:$C$73,A24)</f>
        <v>3</v>
      </c>
      <c r="Y24" s="12">
        <f t="shared" si="1"/>
        <v>88</v>
      </c>
      <c r="Z24" s="6">
        <v>0</v>
      </c>
      <c r="AA24" s="6" t="s">
        <v>138</v>
      </c>
      <c r="AB24" s="6" t="s">
        <v>237</v>
      </c>
      <c r="AC24" s="6" t="str">
        <f t="shared" si="2"/>
        <v>PRJ-012 - Compressor Overhaul</v>
      </c>
      <c r="AD24" s="13" t="str">
        <f>HYPERLINK(Config!$B$3&amp;"/"&amp;AC24,"Open project folder")</f>
        <v>Open project folder</v>
      </c>
      <c r="AE24" s="6" t="str">
        <f>Config!$B$3&amp;"/"&amp;AC24</f>
        <v>PASTE-YOUR-ONEDRIVE-PROJECT-FILES-FOLDER-URL-HERE/PRJ-012 - Compressor Overhaul</v>
      </c>
    </row>
    <row r="25" spans="1:31" ht="14.5" x14ac:dyDescent="0.35">
      <c r="A25" s="6" t="s">
        <v>238</v>
      </c>
      <c r="B25" s="6" t="s">
        <v>239</v>
      </c>
      <c r="C25" s="6" t="s">
        <v>233</v>
      </c>
      <c r="D25" s="6" t="s">
        <v>65</v>
      </c>
      <c r="E25" s="6" t="s">
        <v>47</v>
      </c>
      <c r="F25" s="6" t="s">
        <v>73</v>
      </c>
      <c r="G25" s="6" t="s">
        <v>103</v>
      </c>
      <c r="H25" s="6" t="s">
        <v>80</v>
      </c>
      <c r="I25" s="6" t="str">
        <f t="shared" si="0"/>
        <v>Execute</v>
      </c>
      <c r="J25" s="6" t="s">
        <v>87</v>
      </c>
      <c r="K25" s="6" t="s">
        <v>143</v>
      </c>
      <c r="L25" s="6" t="s">
        <v>144</v>
      </c>
      <c r="M25" s="12">
        <v>70</v>
      </c>
      <c r="N25" s="12">
        <v>65</v>
      </c>
      <c r="O25" s="6">
        <v>6</v>
      </c>
      <c r="P25" s="6" t="s">
        <v>84</v>
      </c>
      <c r="Q25" s="11">
        <v>45928</v>
      </c>
      <c r="R25" s="11">
        <v>46354</v>
      </c>
      <c r="S25" s="11">
        <v>46364</v>
      </c>
      <c r="T25" s="6">
        <f>COUNTIF(Deliverables!$B$2:$B$563,A25)</f>
        <v>21</v>
      </c>
      <c r="U25" s="6">
        <f>COUNTIFS(Deliverables!$B$2:$B$563,A25,Deliverables!$I$2:$I$563,"Approved / IFI")</f>
        <v>13</v>
      </c>
      <c r="V25" s="6">
        <f>COUNTIFS(Deliverables!$B$2:$B$563,A25,Deliverables!$I$2:$I$563,"&lt;&gt;Approved / IFI",Deliverables!$H$2:$H$563,"&lt;"&amp;Config!$B$2)</f>
        <v>0</v>
      </c>
      <c r="W25" s="6">
        <f>COUNTIFS(Risks!$B$2:$B$35,A25,Risks!$K$2:$K$35,"Open")</f>
        <v>1</v>
      </c>
      <c r="X25" s="6">
        <f>COUNTIF(Allocations!$C$2:$C$73,A25)</f>
        <v>2</v>
      </c>
      <c r="Y25" s="12">
        <f t="shared" si="1"/>
        <v>62</v>
      </c>
      <c r="Z25" s="6">
        <v>0</v>
      </c>
      <c r="AA25" s="6" t="s">
        <v>138</v>
      </c>
      <c r="AB25" s="6" t="s">
        <v>240</v>
      </c>
      <c r="AC25" s="6" t="str">
        <f t="shared" si="2"/>
        <v>PRJ-016 - Subsea Tie-in Campaign</v>
      </c>
      <c r="AD25" s="13" t="str">
        <f>HYPERLINK(Config!$B$3&amp;"/"&amp;AC25,"Open project folder")</f>
        <v>Open project folder</v>
      </c>
      <c r="AE25" s="6" t="str">
        <f>Config!$B$3&amp;"/"&amp;AC25</f>
        <v>PASTE-YOUR-ONEDRIVE-PROJECT-FILES-FOLDER-URL-HERE/PRJ-016 - Subsea Tie-in Campaign</v>
      </c>
    </row>
    <row r="26" spans="1:31" ht="14.5" x14ac:dyDescent="0.35">
      <c r="A26" s="6" t="s">
        <v>241</v>
      </c>
      <c r="B26" s="6" t="s">
        <v>242</v>
      </c>
      <c r="C26" s="6" t="s">
        <v>233</v>
      </c>
      <c r="D26" s="6" t="s">
        <v>67</v>
      </c>
      <c r="E26" s="6" t="s">
        <v>47</v>
      </c>
      <c r="F26" s="6" t="s">
        <v>74</v>
      </c>
      <c r="G26" s="6" t="s">
        <v>103</v>
      </c>
      <c r="H26" s="6" t="s">
        <v>80</v>
      </c>
      <c r="I26" s="6" t="str">
        <f t="shared" si="0"/>
        <v>Execute</v>
      </c>
      <c r="J26" s="6" t="s">
        <v>87</v>
      </c>
      <c r="K26" s="6" t="s">
        <v>222</v>
      </c>
      <c r="L26" s="6" t="s">
        <v>201</v>
      </c>
      <c r="M26" s="12">
        <v>76</v>
      </c>
      <c r="N26" s="12">
        <v>71</v>
      </c>
      <c r="O26" s="6">
        <v>5</v>
      </c>
      <c r="P26" s="6" t="s">
        <v>84</v>
      </c>
      <c r="Q26" s="11">
        <v>45828</v>
      </c>
      <c r="R26" s="11">
        <v>46315</v>
      </c>
      <c r="S26" s="11">
        <v>46325</v>
      </c>
      <c r="T26" s="6">
        <f>COUNTIF(Deliverables!$B$2:$B$563,A26)</f>
        <v>21</v>
      </c>
      <c r="U26" s="6">
        <f>COUNTIFS(Deliverables!$B$2:$B$563,A26,Deliverables!$I$2:$I$563,"Approved / IFI")</f>
        <v>16</v>
      </c>
      <c r="V26" s="6">
        <f>COUNTIFS(Deliverables!$B$2:$B$563,A26,Deliverables!$I$2:$I$563,"&lt;&gt;Approved / IFI",Deliverables!$H$2:$H$563,"&lt;"&amp;Config!$B$2)</f>
        <v>0</v>
      </c>
      <c r="W26" s="6">
        <f>COUNTIFS(Risks!$B$2:$B$35,A26,Risks!$K$2:$K$35,"Open")</f>
        <v>1</v>
      </c>
      <c r="X26" s="6">
        <f>COUNTIF(Allocations!$C$2:$C$73,A26)</f>
        <v>5</v>
      </c>
      <c r="Y26" s="12">
        <f t="shared" si="1"/>
        <v>76</v>
      </c>
      <c r="Z26" s="6">
        <v>0</v>
      </c>
      <c r="AA26" s="6" t="s">
        <v>138</v>
      </c>
      <c r="AB26" s="6" t="s">
        <v>243</v>
      </c>
      <c r="AC26" s="6" t="str">
        <f t="shared" si="2"/>
        <v>PRJ-022 - Electrical Substation Upgrade</v>
      </c>
      <c r="AD26" s="13" t="str">
        <f>HYPERLINK(Config!$B$3&amp;"/"&amp;AC26,"Open project folder")</f>
        <v>Open project folder</v>
      </c>
      <c r="AE26" s="6" t="str">
        <f>Config!$B$3&amp;"/"&amp;AC26</f>
        <v>PASTE-YOUR-ONEDRIVE-PROJECT-FILES-FOLDER-URL-HERE/PRJ-022 - Electrical Substation Upgrade</v>
      </c>
    </row>
    <row r="27" spans="1:31" ht="14.5" x14ac:dyDescent="0.35">
      <c r="A27" s="6" t="s">
        <v>244</v>
      </c>
      <c r="B27" s="6" t="s">
        <v>245</v>
      </c>
      <c r="C27" s="6" t="s">
        <v>233</v>
      </c>
      <c r="D27" s="6" t="s">
        <v>68</v>
      </c>
      <c r="E27" s="6" t="s">
        <v>47</v>
      </c>
      <c r="F27" s="6" t="s">
        <v>73</v>
      </c>
      <c r="G27" s="6" t="s">
        <v>103</v>
      </c>
      <c r="H27" s="6" t="s">
        <v>80</v>
      </c>
      <c r="I27" s="6" t="str">
        <f t="shared" si="0"/>
        <v>Execute</v>
      </c>
      <c r="J27" s="6" t="s">
        <v>87</v>
      </c>
      <c r="K27" s="6" t="s">
        <v>155</v>
      </c>
      <c r="L27" s="6" t="s">
        <v>156</v>
      </c>
      <c r="M27" s="12">
        <v>82</v>
      </c>
      <c r="N27" s="12">
        <v>79</v>
      </c>
      <c r="O27" s="6">
        <v>3</v>
      </c>
      <c r="P27" s="6" t="s">
        <v>83</v>
      </c>
      <c r="Q27" s="11">
        <v>45807</v>
      </c>
      <c r="R27" s="11">
        <v>46295</v>
      </c>
      <c r="S27" s="11">
        <v>46300</v>
      </c>
      <c r="T27" s="6">
        <f>COUNTIF(Deliverables!$B$2:$B$563,A27)</f>
        <v>17</v>
      </c>
      <c r="U27" s="6">
        <f>COUNTIFS(Deliverables!$B$2:$B$563,A27,Deliverables!$I$2:$I$563,"Approved / IFI")</f>
        <v>14</v>
      </c>
      <c r="V27" s="6">
        <f>COUNTIFS(Deliverables!$B$2:$B$563,A27,Deliverables!$I$2:$I$563,"&lt;&gt;Approved / IFI",Deliverables!$H$2:$H$563,"&lt;"&amp;Config!$B$2)</f>
        <v>0</v>
      </c>
      <c r="W27" s="6">
        <f>COUNTIFS(Risks!$B$2:$B$35,A27,Risks!$K$2:$K$35,"Open")</f>
        <v>0</v>
      </c>
      <c r="X27" s="6">
        <f>COUNTIF(Allocations!$C$2:$C$73,A27)</f>
        <v>2</v>
      </c>
      <c r="Y27" s="12">
        <f t="shared" si="1"/>
        <v>82</v>
      </c>
      <c r="Z27" s="6">
        <v>0</v>
      </c>
      <c r="AA27" s="6" t="s">
        <v>138</v>
      </c>
      <c r="AB27" s="6" t="s">
        <v>246</v>
      </c>
      <c r="AC27" s="6" t="str">
        <f t="shared" si="2"/>
        <v>PRJ-026 - Tank Farm Expansion</v>
      </c>
      <c r="AD27" s="13" t="str">
        <f>HYPERLINK(Config!$B$3&amp;"/"&amp;AC27,"Open project folder")</f>
        <v>Open project folder</v>
      </c>
      <c r="AE27" s="6" t="str">
        <f>Config!$B$3&amp;"/"&amp;AC27</f>
        <v>PASTE-YOUR-ONEDRIVE-PROJECT-FILES-FOLDER-URL-HERE/PRJ-026 - Tank Farm Expansion</v>
      </c>
    </row>
    <row r="28" spans="1:31" ht="14.5" x14ac:dyDescent="0.35">
      <c r="A28" s="6" t="s">
        <v>247</v>
      </c>
      <c r="B28" s="6" t="s">
        <v>248</v>
      </c>
      <c r="C28" s="6" t="s">
        <v>88</v>
      </c>
      <c r="D28" s="6" t="s">
        <v>65</v>
      </c>
      <c r="E28" s="6" t="s">
        <v>47</v>
      </c>
      <c r="F28" s="6" t="s">
        <v>71</v>
      </c>
      <c r="G28" s="6" t="s">
        <v>103</v>
      </c>
      <c r="H28" s="6" t="s">
        <v>81</v>
      </c>
      <c r="I28" s="6" t="str">
        <f t="shared" si="0"/>
        <v>Closeout / Archive</v>
      </c>
      <c r="J28" s="6" t="s">
        <v>88</v>
      </c>
      <c r="K28" s="6" t="s">
        <v>143</v>
      </c>
      <c r="L28" s="6" t="s">
        <v>144</v>
      </c>
      <c r="M28" s="12">
        <v>100</v>
      </c>
      <c r="N28" s="12">
        <v>100</v>
      </c>
      <c r="O28" s="6">
        <v>0</v>
      </c>
      <c r="P28" s="6" t="s">
        <v>83</v>
      </c>
      <c r="Q28" s="11">
        <v>45641</v>
      </c>
      <c r="R28" s="11">
        <v>46218</v>
      </c>
      <c r="S28" s="11">
        <v>46215</v>
      </c>
      <c r="T28" s="6">
        <f>COUNTIF(Deliverables!$B$2:$B$563,A28)</f>
        <v>17</v>
      </c>
      <c r="U28" s="6">
        <f>COUNTIFS(Deliverables!$B$2:$B$563,A28,Deliverables!$I$2:$I$563,"Approved / IFI")</f>
        <v>17</v>
      </c>
      <c r="V28" s="6">
        <f>COUNTIFS(Deliverables!$B$2:$B$563,A28,Deliverables!$I$2:$I$563,"&lt;&gt;Approved / IFI",Deliverables!$H$2:$H$563,"&lt;"&amp;Config!$B$2)</f>
        <v>0</v>
      </c>
      <c r="W28" s="6">
        <f>COUNTIFS(Risks!$B$2:$B$35,A28,Risks!$K$2:$K$35,"Open")</f>
        <v>0</v>
      </c>
      <c r="X28" s="6">
        <f>COUNTIF(Allocations!$C$2:$C$73,A28)</f>
        <v>0</v>
      </c>
      <c r="Y28" s="12">
        <f t="shared" si="1"/>
        <v>100</v>
      </c>
      <c r="Z28" s="6">
        <v>1</v>
      </c>
      <c r="AA28" s="6" t="s">
        <v>177</v>
      </c>
      <c r="AB28" s="6" t="s">
        <v>249</v>
      </c>
      <c r="AC28" s="6" t="str">
        <f t="shared" si="2"/>
        <v>PRJ-017 - Wellhead Platform Refurbishment</v>
      </c>
      <c r="AD28" s="13" t="str">
        <f>HYPERLINK(Config!$B$3&amp;"/"&amp;AC28,"Open project folder")</f>
        <v>Open project folder</v>
      </c>
      <c r="AE28" s="6" t="str">
        <f>Config!$B$3&amp;"/"&amp;AC28</f>
        <v>PASTE-YOUR-ONEDRIVE-PROJECT-FILES-FOLDER-URL-HERE/PRJ-017 - Wellhead Platform Refurbishment</v>
      </c>
    </row>
    <row r="29" spans="1:31" ht="14.5" x14ac:dyDescent="0.35">
      <c r="A29" s="6" t="s">
        <v>250</v>
      </c>
      <c r="B29" s="6" t="s">
        <v>251</v>
      </c>
      <c r="C29" s="6" t="s">
        <v>88</v>
      </c>
      <c r="D29" s="6" t="s">
        <v>60</v>
      </c>
      <c r="E29" s="6" t="s">
        <v>47</v>
      </c>
      <c r="F29" s="6" t="s">
        <v>71</v>
      </c>
      <c r="G29" s="6" t="s">
        <v>103</v>
      </c>
      <c r="H29" s="6" t="s">
        <v>81</v>
      </c>
      <c r="I29" s="6" t="str">
        <f t="shared" si="0"/>
        <v>Closeout / Archive</v>
      </c>
      <c r="J29" s="6" t="s">
        <v>88</v>
      </c>
      <c r="K29" s="6" t="s">
        <v>149</v>
      </c>
      <c r="L29" s="6" t="s">
        <v>150</v>
      </c>
      <c r="M29" s="12">
        <v>100</v>
      </c>
      <c r="N29" s="12">
        <v>100</v>
      </c>
      <c r="O29" s="6">
        <v>0</v>
      </c>
      <c r="P29" s="6" t="s">
        <v>84</v>
      </c>
      <c r="Q29" s="11">
        <v>45636</v>
      </c>
      <c r="R29" s="11">
        <v>46183</v>
      </c>
      <c r="S29" s="11">
        <v>46193</v>
      </c>
      <c r="T29" s="6">
        <f>COUNTIF(Deliverables!$B$2:$B$563,A29)</f>
        <v>21</v>
      </c>
      <c r="U29" s="6">
        <f>COUNTIFS(Deliverables!$B$2:$B$563,A29,Deliverables!$I$2:$I$563,"Approved / IFI")</f>
        <v>20</v>
      </c>
      <c r="V29" s="6">
        <f>COUNTIFS(Deliverables!$B$2:$B$563,A29,Deliverables!$I$2:$I$563,"&lt;&gt;Approved / IFI",Deliverables!$H$2:$H$563,"&lt;"&amp;Config!$B$2)</f>
        <v>0</v>
      </c>
      <c r="W29" s="6">
        <f>COUNTIFS(Risks!$B$2:$B$35,A29,Risks!$K$2:$K$35,"Open")</f>
        <v>0</v>
      </c>
      <c r="X29" s="6">
        <f>COUNTIF(Allocations!$C$2:$C$73,A29)</f>
        <v>0</v>
      </c>
      <c r="Y29" s="12">
        <f t="shared" si="1"/>
        <v>95</v>
      </c>
      <c r="Z29" s="6">
        <v>5</v>
      </c>
      <c r="AA29" s="6" t="s">
        <v>138</v>
      </c>
      <c r="AB29" s="6" t="s">
        <v>252</v>
      </c>
      <c r="AC29" s="6" t="str">
        <f t="shared" si="2"/>
        <v>PRJ-027 - Instrument Air System Replacement</v>
      </c>
      <c r="AD29" s="13" t="str">
        <f>HYPERLINK(Config!$B$3&amp;"/"&amp;AC29,"Open project folder")</f>
        <v>Open project folder</v>
      </c>
      <c r="AE29" s="6" t="str">
        <f>Config!$B$3&amp;"/"&amp;AC29</f>
        <v>PASTE-YOUR-ONEDRIVE-PROJECT-FILES-FOLDER-URL-HERE/PRJ-027 - Instrument Air System Replacement</v>
      </c>
    </row>
    <row r="30" spans="1:31" ht="14.5" x14ac:dyDescent="0.35">
      <c r="A30" s="6" t="s">
        <v>253</v>
      </c>
      <c r="B30" s="6" t="s">
        <v>254</v>
      </c>
      <c r="C30" s="6" t="s">
        <v>88</v>
      </c>
      <c r="D30" s="6" t="s">
        <v>68</v>
      </c>
      <c r="E30" s="6" t="s">
        <v>47</v>
      </c>
      <c r="F30" s="6" t="s">
        <v>73</v>
      </c>
      <c r="G30" s="6" t="s">
        <v>103</v>
      </c>
      <c r="H30" s="6" t="s">
        <v>81</v>
      </c>
      <c r="I30" s="6" t="str">
        <f t="shared" si="0"/>
        <v>Closeout / Archive</v>
      </c>
      <c r="J30" s="6" t="s">
        <v>88</v>
      </c>
      <c r="K30" s="6" t="s">
        <v>155</v>
      </c>
      <c r="L30" s="6" t="s">
        <v>156</v>
      </c>
      <c r="M30" s="12">
        <v>100</v>
      </c>
      <c r="N30" s="12">
        <v>100</v>
      </c>
      <c r="O30" s="6">
        <v>0</v>
      </c>
      <c r="P30" s="6" t="s">
        <v>83</v>
      </c>
      <c r="Q30" s="11">
        <v>45563</v>
      </c>
      <c r="R30" s="11">
        <v>46170</v>
      </c>
      <c r="S30" s="11">
        <v>46167</v>
      </c>
      <c r="T30" s="6">
        <f>COUNTIF(Deliverables!$B$2:$B$563,A30)</f>
        <v>16</v>
      </c>
      <c r="U30" s="6">
        <f>COUNTIFS(Deliverables!$B$2:$B$563,A30,Deliverables!$I$2:$I$563,"Approved / IFI")</f>
        <v>16</v>
      </c>
      <c r="V30" s="6">
        <f>COUNTIFS(Deliverables!$B$2:$B$563,A30,Deliverables!$I$2:$I$563,"&lt;&gt;Approved / IFI",Deliverables!$H$2:$H$563,"&lt;"&amp;Config!$B$2)</f>
        <v>0</v>
      </c>
      <c r="W30" s="6">
        <f>COUNTIFS(Risks!$B$2:$B$35,A30,Risks!$K$2:$K$35,"Open")</f>
        <v>0</v>
      </c>
      <c r="X30" s="6">
        <f>COUNTIF(Allocations!$C$2:$C$73,A30)</f>
        <v>0</v>
      </c>
      <c r="Y30" s="12">
        <f t="shared" si="1"/>
        <v>100</v>
      </c>
      <c r="Z30" s="6">
        <v>0</v>
      </c>
      <c r="AA30" s="6" t="s">
        <v>177</v>
      </c>
      <c r="AB30" s="6" t="s">
        <v>255</v>
      </c>
      <c r="AC30" s="6" t="str">
        <f t="shared" si="2"/>
        <v>PRJ-028 - Metering Skid Replacement</v>
      </c>
      <c r="AD30" s="13" t="str">
        <f>HYPERLINK(Config!$B$3&amp;"/"&amp;AC30,"Open project folder")</f>
        <v>Open project folder</v>
      </c>
      <c r="AE30" s="6" t="str">
        <f>Config!$B$3&amp;"/"&amp;AC30</f>
        <v>PASTE-YOUR-ONEDRIVE-PROJECT-FILES-FOLDER-URL-HERE/PRJ-028 - Metering Skid Replacement</v>
      </c>
    </row>
    <row r="31" spans="1:31" ht="14.5" x14ac:dyDescent="0.35">
      <c r="A31" s="6" t="s">
        <v>256</v>
      </c>
      <c r="B31" s="6" t="s">
        <v>257</v>
      </c>
      <c r="C31" s="6" t="s">
        <v>88</v>
      </c>
      <c r="D31" s="6" t="s">
        <v>69</v>
      </c>
      <c r="E31" s="6" t="s">
        <v>48</v>
      </c>
      <c r="F31" s="6" t="s">
        <v>71</v>
      </c>
      <c r="G31" s="6" t="s">
        <v>104</v>
      </c>
      <c r="H31" s="6" t="s">
        <v>81</v>
      </c>
      <c r="I31" s="6" t="str">
        <f t="shared" si="0"/>
        <v>Closeout / Archive</v>
      </c>
      <c r="J31" s="6" t="s">
        <v>88</v>
      </c>
      <c r="K31" s="6" t="s">
        <v>167</v>
      </c>
      <c r="L31" s="6" t="s">
        <v>168</v>
      </c>
      <c r="M31" s="12">
        <v>100</v>
      </c>
      <c r="N31" s="12">
        <v>100</v>
      </c>
      <c r="O31" s="6">
        <v>0</v>
      </c>
      <c r="P31" s="6" t="s">
        <v>83</v>
      </c>
      <c r="Q31" s="11">
        <v>45716</v>
      </c>
      <c r="R31" s="11">
        <v>46142</v>
      </c>
      <c r="S31" s="11">
        <v>46140</v>
      </c>
      <c r="T31" s="6">
        <f>COUNTIF(Deliverables!$B$2:$B$563,A31)</f>
        <v>17</v>
      </c>
      <c r="U31" s="6">
        <f>COUNTIFS(Deliverables!$B$2:$B$563,A31,Deliverables!$I$2:$I$563,"Approved / IFI")</f>
        <v>17</v>
      </c>
      <c r="V31" s="6">
        <f>COUNTIFS(Deliverables!$B$2:$B$563,A31,Deliverables!$I$2:$I$563,"&lt;&gt;Approved / IFI",Deliverables!$H$2:$H$563,"&lt;"&amp;Config!$B$2)</f>
        <v>0</v>
      </c>
      <c r="W31" s="6">
        <f>COUNTIFS(Risks!$B$2:$B$35,A31,Risks!$K$2:$K$35,"Open")</f>
        <v>0</v>
      </c>
      <c r="X31" s="6">
        <f>COUNTIF(Allocations!$C$2:$C$73,A31)</f>
        <v>0</v>
      </c>
      <c r="Y31" s="12">
        <f t="shared" si="1"/>
        <v>100</v>
      </c>
      <c r="Z31" s="6">
        <v>0</v>
      </c>
      <c r="AA31" s="6" t="s">
        <v>177</v>
      </c>
      <c r="AB31" s="6" t="s">
        <v>258</v>
      </c>
      <c r="AC31" s="6" t="str">
        <f t="shared" si="2"/>
        <v>GLB-001 - Regional Pipeline ROW Survey</v>
      </c>
      <c r="AD31" s="13" t="str">
        <f>HYPERLINK(Config!$B$3&amp;"/"&amp;AC31,"Open project folder")</f>
        <v>Open project folder</v>
      </c>
      <c r="AE31" s="6" t="str">
        <f>Config!$B$3&amp;"/"&amp;AC31</f>
        <v>PASTE-YOUR-ONEDRIVE-PROJECT-FILES-FOLDER-URL-HERE/GLB-001 - Regional Pipeline ROW Survey</v>
      </c>
    </row>
    <row r="32" spans="1:31" ht="14.5" x14ac:dyDescent="0.35">
      <c r="A32" s="6" t="s">
        <v>259</v>
      </c>
      <c r="B32" s="6" t="s">
        <v>260</v>
      </c>
      <c r="C32" s="6" t="s">
        <v>88</v>
      </c>
      <c r="D32" s="6" t="s">
        <v>69</v>
      </c>
      <c r="E32" s="6" t="s">
        <v>48</v>
      </c>
      <c r="F32" s="6" t="s">
        <v>71</v>
      </c>
      <c r="G32" s="6" t="s">
        <v>104</v>
      </c>
      <c r="H32" s="6" t="s">
        <v>81</v>
      </c>
      <c r="I32" s="6" t="str">
        <f t="shared" si="0"/>
        <v>Closeout / Archive</v>
      </c>
      <c r="J32" s="6" t="s">
        <v>88</v>
      </c>
      <c r="K32" s="6" t="s">
        <v>167</v>
      </c>
      <c r="L32" s="6" t="s">
        <v>168</v>
      </c>
      <c r="M32" s="12">
        <v>100</v>
      </c>
      <c r="N32" s="12">
        <v>100</v>
      </c>
      <c r="O32" s="6">
        <v>0</v>
      </c>
      <c r="P32" s="6" t="s">
        <v>84</v>
      </c>
      <c r="Q32" s="11">
        <v>45616</v>
      </c>
      <c r="R32" s="11">
        <v>46101</v>
      </c>
      <c r="S32" s="11">
        <v>46106</v>
      </c>
      <c r="T32" s="6">
        <f>COUNTIF(Deliverables!$B$2:$B$563,A32)</f>
        <v>19</v>
      </c>
      <c r="U32" s="6">
        <f>COUNTIFS(Deliverables!$B$2:$B$563,A32,Deliverables!$I$2:$I$563,"Approved / IFI")</f>
        <v>18</v>
      </c>
      <c r="V32" s="6">
        <f>COUNTIFS(Deliverables!$B$2:$B$563,A32,Deliverables!$I$2:$I$563,"&lt;&gt;Approved / IFI",Deliverables!$H$2:$H$563,"&lt;"&amp;Config!$B$2)</f>
        <v>0</v>
      </c>
      <c r="W32" s="6">
        <f>COUNTIFS(Risks!$B$2:$B$35,A32,Risks!$K$2:$K$35,"Open")</f>
        <v>0</v>
      </c>
      <c r="X32" s="6">
        <f>COUNTIF(Allocations!$C$2:$C$73,A32)</f>
        <v>0</v>
      </c>
      <c r="Y32" s="12">
        <f t="shared" si="1"/>
        <v>95</v>
      </c>
      <c r="Z32" s="6">
        <v>2</v>
      </c>
      <c r="AA32" s="6" t="s">
        <v>138</v>
      </c>
      <c r="AB32" s="6" t="s">
        <v>261</v>
      </c>
      <c r="AC32" s="6" t="str">
        <f t="shared" si="2"/>
        <v>GLB-002 - Emergency Response Plan Update</v>
      </c>
      <c r="AD32" s="13" t="str">
        <f>HYPERLINK(Config!$B$3&amp;"/"&amp;AC32,"Open project folder")</f>
        <v>Open project folder</v>
      </c>
      <c r="AE32" s="6" t="str">
        <f>Config!$B$3&amp;"/"&amp;AC32</f>
        <v>PASTE-YOUR-ONEDRIVE-PROJECT-FILES-FOLDER-URL-HERE/GLB-002 - Emergency Response Plan Update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3AF2-D6AD-44EB-BF3A-38E1D69011D9}">
  <dimension ref="A1:H53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0.6328125" style="6" customWidth="1"/>
    <col min="2" max="2" width="14.81640625" style="6" bestFit="1" customWidth="1"/>
    <col min="3" max="3" width="20.08984375" style="6" bestFit="1" customWidth="1"/>
    <col min="4" max="4" width="14.7265625" style="6" bestFit="1" customWidth="1"/>
    <col min="5" max="5" width="13.7265625" style="6" customWidth="1"/>
    <col min="6" max="6" width="14.26953125" style="6" customWidth="1"/>
    <col min="7" max="7" width="13.54296875" style="6" customWidth="1"/>
    <col min="8" max="8" width="16.90625" style="6" customWidth="1"/>
    <col min="9" max="16384" width="8.7265625" style="6"/>
  </cols>
  <sheetData>
    <row r="1" spans="1:8" ht="18" customHeight="1" x14ac:dyDescent="0.3">
      <c r="A1" s="10" t="s">
        <v>262</v>
      </c>
      <c r="B1" s="10" t="s">
        <v>263</v>
      </c>
      <c r="C1" s="10" t="s">
        <v>264</v>
      </c>
      <c r="D1" s="10" t="s">
        <v>109</v>
      </c>
      <c r="E1" s="10" t="s">
        <v>265</v>
      </c>
      <c r="F1" s="10" t="s">
        <v>266</v>
      </c>
      <c r="G1" s="10" t="s">
        <v>267</v>
      </c>
      <c r="H1" s="10" t="s">
        <v>268</v>
      </c>
    </row>
    <row r="2" spans="1:8" x14ac:dyDescent="0.25">
      <c r="A2" s="6" t="s">
        <v>269</v>
      </c>
      <c r="B2" s="6" t="s">
        <v>137</v>
      </c>
      <c r="C2" s="6" t="s">
        <v>50</v>
      </c>
      <c r="D2" s="6" t="s">
        <v>45</v>
      </c>
      <c r="E2" s="12">
        <v>1</v>
      </c>
      <c r="F2" s="6" t="s">
        <v>62</v>
      </c>
      <c r="G2" s="12">
        <f>SUMIFS(Allocations!$D$2:$D$73,Allocations!$B$2:$B$73,A2)</f>
        <v>84</v>
      </c>
      <c r="H2" s="6" t="str">
        <f t="shared" ref="H2:H33" si="0">IF(G2&gt;105,"Overloaded",IF(G2&gt;=95,"High",IF(G2&gt;=70,"Healthy","Available")))</f>
        <v>Healthy</v>
      </c>
    </row>
    <row r="3" spans="1:8" x14ac:dyDescent="0.25">
      <c r="A3" s="6" t="s">
        <v>270</v>
      </c>
      <c r="B3" s="6" t="s">
        <v>150</v>
      </c>
      <c r="C3" s="6" t="s">
        <v>50</v>
      </c>
      <c r="D3" s="6" t="s">
        <v>45</v>
      </c>
      <c r="E3" s="12">
        <v>1</v>
      </c>
      <c r="F3" s="6" t="s">
        <v>60</v>
      </c>
      <c r="G3" s="12">
        <f>SUMIFS(Allocations!$D$2:$D$73,Allocations!$B$2:$B$73,A3)</f>
        <v>106</v>
      </c>
      <c r="H3" s="6" t="str">
        <f t="shared" si="0"/>
        <v>Overloaded</v>
      </c>
    </row>
    <row r="4" spans="1:8" x14ac:dyDescent="0.25">
      <c r="A4" s="6" t="s">
        <v>271</v>
      </c>
      <c r="B4" s="6" t="s">
        <v>156</v>
      </c>
      <c r="C4" s="6" t="s">
        <v>50</v>
      </c>
      <c r="D4" s="6" t="s">
        <v>45</v>
      </c>
      <c r="E4" s="12">
        <v>1</v>
      </c>
      <c r="F4" s="6" t="s">
        <v>68</v>
      </c>
      <c r="G4" s="12">
        <f>SUMIFS(Allocations!$D$2:$D$73,Allocations!$B$2:$B$73,A4)</f>
        <v>112</v>
      </c>
      <c r="H4" s="6" t="str">
        <f t="shared" si="0"/>
        <v>Overloaded</v>
      </c>
    </row>
    <row r="5" spans="1:8" x14ac:dyDescent="0.25">
      <c r="A5" s="6" t="s">
        <v>272</v>
      </c>
      <c r="B5" s="6" t="s">
        <v>162</v>
      </c>
      <c r="C5" s="6" t="s">
        <v>51</v>
      </c>
      <c r="D5" s="6" t="s">
        <v>45</v>
      </c>
      <c r="E5" s="12">
        <v>1</v>
      </c>
      <c r="F5" s="6" t="s">
        <v>59</v>
      </c>
      <c r="G5" s="12">
        <f>SUMIFS(Allocations!$D$2:$D$73,Allocations!$B$2:$B$73,A5)</f>
        <v>113</v>
      </c>
      <c r="H5" s="6" t="str">
        <f t="shared" si="0"/>
        <v>Overloaded</v>
      </c>
    </row>
    <row r="6" spans="1:8" x14ac:dyDescent="0.25">
      <c r="A6" s="6" t="s">
        <v>273</v>
      </c>
      <c r="B6" s="6" t="s">
        <v>274</v>
      </c>
      <c r="C6" s="6" t="s">
        <v>51</v>
      </c>
      <c r="D6" s="6" t="s">
        <v>45</v>
      </c>
      <c r="E6" s="12">
        <v>1</v>
      </c>
      <c r="F6" s="6" t="s">
        <v>62</v>
      </c>
      <c r="G6" s="12">
        <f>SUMIFS(Allocations!$D$2:$D$73,Allocations!$B$2:$B$73,A6)</f>
        <v>63</v>
      </c>
      <c r="H6" s="6" t="str">
        <f t="shared" si="0"/>
        <v>Available</v>
      </c>
    </row>
    <row r="7" spans="1:8" x14ac:dyDescent="0.25">
      <c r="A7" s="6" t="s">
        <v>275</v>
      </c>
      <c r="B7" s="6" t="s">
        <v>276</v>
      </c>
      <c r="C7" s="6" t="s">
        <v>51</v>
      </c>
      <c r="D7" s="6" t="s">
        <v>45</v>
      </c>
      <c r="E7" s="12">
        <v>1</v>
      </c>
      <c r="F7" s="6" t="s">
        <v>62</v>
      </c>
      <c r="G7" s="12">
        <f>SUMIFS(Allocations!$D$2:$D$73,Allocations!$B$2:$B$73,A7)</f>
        <v>96</v>
      </c>
      <c r="H7" s="6" t="str">
        <f t="shared" si="0"/>
        <v>High</v>
      </c>
    </row>
    <row r="8" spans="1:8" x14ac:dyDescent="0.25">
      <c r="A8" s="6" t="s">
        <v>277</v>
      </c>
      <c r="B8" s="6" t="s">
        <v>183</v>
      </c>
      <c r="C8" s="6" t="s">
        <v>52</v>
      </c>
      <c r="D8" s="6" t="s">
        <v>45</v>
      </c>
      <c r="E8" s="12">
        <v>1</v>
      </c>
      <c r="F8" s="6" t="s">
        <v>61</v>
      </c>
      <c r="G8" s="12">
        <f>SUMIFS(Allocations!$D$2:$D$73,Allocations!$B$2:$B$73,A8)</f>
        <v>59</v>
      </c>
      <c r="H8" s="6" t="str">
        <f t="shared" si="0"/>
        <v>Available</v>
      </c>
    </row>
    <row r="9" spans="1:8" x14ac:dyDescent="0.25">
      <c r="A9" s="6" t="s">
        <v>278</v>
      </c>
      <c r="B9" s="6" t="s">
        <v>279</v>
      </c>
      <c r="C9" s="6" t="s">
        <v>52</v>
      </c>
      <c r="D9" s="6" t="s">
        <v>45</v>
      </c>
      <c r="E9" s="12">
        <v>1</v>
      </c>
      <c r="F9" s="6" t="s">
        <v>60</v>
      </c>
      <c r="G9" s="12">
        <f>SUMIFS(Allocations!$D$2:$D$73,Allocations!$B$2:$B$73,A9)</f>
        <v>61</v>
      </c>
      <c r="H9" s="6" t="str">
        <f t="shared" si="0"/>
        <v>Available</v>
      </c>
    </row>
    <row r="10" spans="1:8" x14ac:dyDescent="0.25">
      <c r="A10" s="6" t="s">
        <v>280</v>
      </c>
      <c r="B10" s="6" t="s">
        <v>168</v>
      </c>
      <c r="C10" s="6" t="s">
        <v>53</v>
      </c>
      <c r="D10" s="6" t="s">
        <v>45</v>
      </c>
      <c r="E10" s="12">
        <v>1</v>
      </c>
      <c r="F10" s="6" t="s">
        <v>69</v>
      </c>
      <c r="G10" s="12">
        <f>SUMIFS(Allocations!$D$2:$D$73,Allocations!$B$2:$B$73,A10)</f>
        <v>50</v>
      </c>
      <c r="H10" s="6" t="str">
        <f t="shared" si="0"/>
        <v>Available</v>
      </c>
    </row>
    <row r="11" spans="1:8" x14ac:dyDescent="0.25">
      <c r="A11" s="6" t="s">
        <v>281</v>
      </c>
      <c r="B11" s="6" t="s">
        <v>144</v>
      </c>
      <c r="C11" s="6" t="s">
        <v>54</v>
      </c>
      <c r="D11" s="6" t="s">
        <v>45</v>
      </c>
      <c r="E11" s="12">
        <v>1</v>
      </c>
      <c r="F11" s="6" t="s">
        <v>65</v>
      </c>
      <c r="G11" s="12">
        <f>SUMIFS(Allocations!$D$2:$D$73,Allocations!$B$2:$B$73,A11)</f>
        <v>51</v>
      </c>
      <c r="H11" s="6" t="str">
        <f t="shared" si="0"/>
        <v>Available</v>
      </c>
    </row>
    <row r="12" spans="1:8" x14ac:dyDescent="0.25">
      <c r="A12" s="6" t="s">
        <v>282</v>
      </c>
      <c r="B12" s="6" t="s">
        <v>201</v>
      </c>
      <c r="C12" s="6" t="s">
        <v>54</v>
      </c>
      <c r="D12" s="6" t="s">
        <v>45</v>
      </c>
      <c r="E12" s="12">
        <v>1</v>
      </c>
      <c r="F12" s="6" t="s">
        <v>67</v>
      </c>
      <c r="G12" s="12">
        <f>SUMIFS(Allocations!$D$2:$D$73,Allocations!$B$2:$B$73,A12)</f>
        <v>47</v>
      </c>
      <c r="H12" s="6" t="str">
        <f t="shared" si="0"/>
        <v>Available</v>
      </c>
    </row>
    <row r="13" spans="1:8" x14ac:dyDescent="0.25">
      <c r="A13" s="6" t="s">
        <v>283</v>
      </c>
      <c r="B13" s="6" t="s">
        <v>284</v>
      </c>
      <c r="C13" s="6" t="s">
        <v>54</v>
      </c>
      <c r="D13" s="6" t="s">
        <v>45</v>
      </c>
      <c r="E13" s="12">
        <v>1</v>
      </c>
      <c r="F13" s="6" t="s">
        <v>65</v>
      </c>
      <c r="G13" s="12">
        <f>SUMIFS(Allocations!$D$2:$D$73,Allocations!$B$2:$B$73,A13)</f>
        <v>112</v>
      </c>
      <c r="H13" s="6" t="str">
        <f t="shared" si="0"/>
        <v>Overloaded</v>
      </c>
    </row>
    <row r="14" spans="1:8" x14ac:dyDescent="0.25">
      <c r="A14" s="6" t="s">
        <v>285</v>
      </c>
      <c r="B14" s="6" t="s">
        <v>193</v>
      </c>
      <c r="C14" s="6" t="s">
        <v>55</v>
      </c>
      <c r="D14" s="6" t="s">
        <v>45</v>
      </c>
      <c r="E14" s="12">
        <v>1</v>
      </c>
      <c r="F14" s="6" t="s">
        <v>63</v>
      </c>
      <c r="G14" s="12">
        <f>SUMIFS(Allocations!$D$2:$D$73,Allocations!$B$2:$B$73,A14)</f>
        <v>95</v>
      </c>
      <c r="H14" s="6" t="str">
        <f t="shared" si="0"/>
        <v>High</v>
      </c>
    </row>
    <row r="15" spans="1:8" x14ac:dyDescent="0.25">
      <c r="A15" s="6" t="s">
        <v>286</v>
      </c>
      <c r="B15" s="6" t="s">
        <v>287</v>
      </c>
      <c r="C15" s="6" t="s">
        <v>53</v>
      </c>
      <c r="D15" s="6" t="s">
        <v>45</v>
      </c>
      <c r="E15" s="12">
        <v>1</v>
      </c>
      <c r="F15" s="6" t="s">
        <v>59</v>
      </c>
      <c r="G15" s="12">
        <f>SUMIFS(Allocations!$D$2:$D$73,Allocations!$B$2:$B$73,A15)</f>
        <v>100</v>
      </c>
      <c r="H15" s="6" t="str">
        <f t="shared" si="0"/>
        <v>High</v>
      </c>
    </row>
    <row r="16" spans="1:8" x14ac:dyDescent="0.25">
      <c r="A16" s="6" t="s">
        <v>288</v>
      </c>
      <c r="B16" s="6" t="s">
        <v>289</v>
      </c>
      <c r="C16" s="6" t="s">
        <v>53</v>
      </c>
      <c r="D16" s="6" t="s">
        <v>45</v>
      </c>
      <c r="E16" s="12">
        <v>1</v>
      </c>
      <c r="F16" s="6" t="s">
        <v>62</v>
      </c>
      <c r="G16" s="12">
        <f>SUMIFS(Allocations!$D$2:$D$73,Allocations!$B$2:$B$73,A16)</f>
        <v>88</v>
      </c>
      <c r="H16" s="6" t="str">
        <f t="shared" si="0"/>
        <v>Healthy</v>
      </c>
    </row>
    <row r="17" spans="1:8" x14ac:dyDescent="0.25">
      <c r="A17" s="6" t="s">
        <v>290</v>
      </c>
      <c r="B17" s="6" t="s">
        <v>156</v>
      </c>
      <c r="C17" s="6" t="s">
        <v>53</v>
      </c>
      <c r="D17" s="6" t="s">
        <v>45</v>
      </c>
      <c r="E17" s="12">
        <v>1</v>
      </c>
      <c r="F17" s="6" t="s">
        <v>66</v>
      </c>
      <c r="G17" s="12">
        <f>SUMIFS(Allocations!$D$2:$D$73,Allocations!$B$2:$B$73,A17)</f>
        <v>70</v>
      </c>
      <c r="H17" s="6" t="str">
        <f t="shared" si="0"/>
        <v>Healthy</v>
      </c>
    </row>
    <row r="18" spans="1:8" x14ac:dyDescent="0.25">
      <c r="A18" s="6" t="s">
        <v>291</v>
      </c>
      <c r="B18" s="6" t="s">
        <v>292</v>
      </c>
      <c r="C18" s="6" t="s">
        <v>51</v>
      </c>
      <c r="D18" s="6" t="s">
        <v>45</v>
      </c>
      <c r="E18" s="12">
        <v>1</v>
      </c>
      <c r="F18" s="6" t="s">
        <v>60</v>
      </c>
      <c r="G18" s="12">
        <f>SUMIFS(Allocations!$D$2:$D$73,Allocations!$B$2:$B$73,A18)</f>
        <v>92</v>
      </c>
      <c r="H18" s="6" t="str">
        <f t="shared" si="0"/>
        <v>Healthy</v>
      </c>
    </row>
    <row r="19" spans="1:8" x14ac:dyDescent="0.25">
      <c r="A19" s="6" t="s">
        <v>293</v>
      </c>
      <c r="B19" s="6" t="s">
        <v>294</v>
      </c>
      <c r="C19" s="6" t="s">
        <v>51</v>
      </c>
      <c r="D19" s="6" t="s">
        <v>45</v>
      </c>
      <c r="E19" s="12">
        <v>1</v>
      </c>
      <c r="F19" s="6" t="s">
        <v>65</v>
      </c>
      <c r="G19" s="12">
        <f>SUMIFS(Allocations!$D$2:$D$73,Allocations!$B$2:$B$73,A19)</f>
        <v>89</v>
      </c>
      <c r="H19" s="6" t="str">
        <f t="shared" si="0"/>
        <v>Healthy</v>
      </c>
    </row>
    <row r="20" spans="1:8" x14ac:dyDescent="0.25">
      <c r="A20" s="6" t="s">
        <v>295</v>
      </c>
      <c r="B20" s="6" t="s">
        <v>296</v>
      </c>
      <c r="C20" s="6" t="s">
        <v>50</v>
      </c>
      <c r="D20" s="6" t="s">
        <v>45</v>
      </c>
      <c r="E20" s="12">
        <v>1</v>
      </c>
      <c r="F20" s="6" t="s">
        <v>63</v>
      </c>
      <c r="G20" s="12">
        <f>SUMIFS(Allocations!$D$2:$D$73,Allocations!$B$2:$B$73,A20)</f>
        <v>76</v>
      </c>
      <c r="H20" s="6" t="str">
        <f t="shared" si="0"/>
        <v>Healthy</v>
      </c>
    </row>
    <row r="21" spans="1:8" x14ac:dyDescent="0.25">
      <c r="A21" s="6" t="s">
        <v>297</v>
      </c>
      <c r="B21" s="6" t="s">
        <v>298</v>
      </c>
      <c r="C21" s="6" t="s">
        <v>50</v>
      </c>
      <c r="D21" s="6" t="s">
        <v>45</v>
      </c>
      <c r="E21" s="12">
        <v>1</v>
      </c>
      <c r="F21" s="6" t="s">
        <v>69</v>
      </c>
      <c r="G21" s="12">
        <f>SUMIFS(Allocations!$D$2:$D$73,Allocations!$B$2:$B$73,A21)</f>
        <v>96</v>
      </c>
      <c r="H21" s="6" t="str">
        <f t="shared" si="0"/>
        <v>High</v>
      </c>
    </row>
    <row r="22" spans="1:8" x14ac:dyDescent="0.25">
      <c r="A22" s="6" t="s">
        <v>299</v>
      </c>
      <c r="B22" s="6" t="s">
        <v>300</v>
      </c>
      <c r="C22" s="6" t="s">
        <v>50</v>
      </c>
      <c r="D22" s="6" t="s">
        <v>45</v>
      </c>
      <c r="E22" s="12">
        <v>1</v>
      </c>
      <c r="F22" s="6" t="s">
        <v>62</v>
      </c>
      <c r="G22" s="12">
        <f>SUMIFS(Allocations!$D$2:$D$73,Allocations!$B$2:$B$73,A22)</f>
        <v>92</v>
      </c>
      <c r="H22" s="6" t="str">
        <f t="shared" si="0"/>
        <v>Healthy</v>
      </c>
    </row>
    <row r="23" spans="1:8" x14ac:dyDescent="0.25">
      <c r="A23" s="6" t="s">
        <v>301</v>
      </c>
      <c r="B23" s="6" t="s">
        <v>302</v>
      </c>
      <c r="C23" s="6" t="s">
        <v>52</v>
      </c>
      <c r="D23" s="6" t="s">
        <v>45</v>
      </c>
      <c r="E23" s="12">
        <v>1</v>
      </c>
      <c r="F23" s="6" t="s">
        <v>67</v>
      </c>
      <c r="G23" s="12">
        <f>SUMIFS(Allocations!$D$2:$D$73,Allocations!$B$2:$B$73,A23)</f>
        <v>102</v>
      </c>
      <c r="H23" s="6" t="str">
        <f t="shared" si="0"/>
        <v>High</v>
      </c>
    </row>
    <row r="24" spans="1:8" x14ac:dyDescent="0.25">
      <c r="A24" s="6" t="s">
        <v>303</v>
      </c>
      <c r="B24" s="6" t="s">
        <v>304</v>
      </c>
      <c r="C24" s="6" t="s">
        <v>52</v>
      </c>
      <c r="D24" s="6" t="s">
        <v>45</v>
      </c>
      <c r="E24" s="12">
        <v>1</v>
      </c>
      <c r="F24" s="6" t="s">
        <v>67</v>
      </c>
      <c r="G24" s="12">
        <f>SUMIFS(Allocations!$D$2:$D$73,Allocations!$B$2:$B$73,A24)</f>
        <v>101</v>
      </c>
      <c r="H24" s="6" t="str">
        <f t="shared" si="0"/>
        <v>High</v>
      </c>
    </row>
    <row r="25" spans="1:8" x14ac:dyDescent="0.25">
      <c r="A25" s="6" t="s">
        <v>305</v>
      </c>
      <c r="B25" s="6" t="s">
        <v>306</v>
      </c>
      <c r="C25" s="6" t="s">
        <v>52</v>
      </c>
      <c r="D25" s="6" t="s">
        <v>45</v>
      </c>
      <c r="E25" s="12">
        <v>1</v>
      </c>
      <c r="F25" s="6" t="s">
        <v>63</v>
      </c>
      <c r="G25" s="12">
        <f>SUMIFS(Allocations!$D$2:$D$73,Allocations!$B$2:$B$73,A25)</f>
        <v>83</v>
      </c>
      <c r="H25" s="6" t="str">
        <f t="shared" si="0"/>
        <v>Healthy</v>
      </c>
    </row>
    <row r="26" spans="1:8" x14ac:dyDescent="0.25">
      <c r="A26" s="6" t="s">
        <v>307</v>
      </c>
      <c r="B26" s="6" t="s">
        <v>308</v>
      </c>
      <c r="C26" s="6" t="s">
        <v>55</v>
      </c>
      <c r="D26" s="6" t="s">
        <v>45</v>
      </c>
      <c r="E26" s="12">
        <v>1</v>
      </c>
      <c r="F26" s="6" t="s">
        <v>62</v>
      </c>
      <c r="G26" s="12">
        <f>SUMIFS(Allocations!$D$2:$D$73,Allocations!$B$2:$B$73,A26)</f>
        <v>74</v>
      </c>
      <c r="H26" s="6" t="str">
        <f t="shared" si="0"/>
        <v>Healthy</v>
      </c>
    </row>
    <row r="27" spans="1:8" x14ac:dyDescent="0.25">
      <c r="A27" s="6" t="s">
        <v>309</v>
      </c>
      <c r="B27" s="6" t="s">
        <v>310</v>
      </c>
      <c r="C27" s="6" t="s">
        <v>55</v>
      </c>
      <c r="D27" s="6" t="s">
        <v>45</v>
      </c>
      <c r="E27" s="12">
        <v>1</v>
      </c>
      <c r="F27" s="6" t="s">
        <v>66</v>
      </c>
      <c r="G27" s="12">
        <f>SUMIFS(Allocations!$D$2:$D$73,Allocations!$B$2:$B$73,A27)</f>
        <v>79</v>
      </c>
      <c r="H27" s="6" t="str">
        <f t="shared" si="0"/>
        <v>Healthy</v>
      </c>
    </row>
    <row r="28" spans="1:8" x14ac:dyDescent="0.25">
      <c r="A28" s="6" t="s">
        <v>311</v>
      </c>
      <c r="B28" s="6" t="s">
        <v>312</v>
      </c>
      <c r="C28" s="6" t="s">
        <v>57</v>
      </c>
      <c r="D28" s="6" t="s">
        <v>45</v>
      </c>
      <c r="E28" s="12">
        <v>1</v>
      </c>
      <c r="F28" s="6" t="s">
        <v>64</v>
      </c>
      <c r="G28" s="12">
        <f>SUMIFS(Allocations!$D$2:$D$73,Allocations!$B$2:$B$73,A28)</f>
        <v>100</v>
      </c>
      <c r="H28" s="6" t="str">
        <f t="shared" si="0"/>
        <v>High</v>
      </c>
    </row>
    <row r="29" spans="1:8" x14ac:dyDescent="0.25">
      <c r="A29" s="6" t="s">
        <v>313</v>
      </c>
      <c r="B29" s="6" t="s">
        <v>168</v>
      </c>
      <c r="C29" s="6" t="s">
        <v>57</v>
      </c>
      <c r="D29" s="6" t="s">
        <v>45</v>
      </c>
      <c r="E29" s="12">
        <v>1</v>
      </c>
      <c r="F29" s="6" t="s">
        <v>62</v>
      </c>
      <c r="G29" s="12">
        <f>SUMIFS(Allocations!$D$2:$D$73,Allocations!$B$2:$B$73,A29)</f>
        <v>77</v>
      </c>
      <c r="H29" s="6" t="str">
        <f t="shared" si="0"/>
        <v>Healthy</v>
      </c>
    </row>
    <row r="30" spans="1:8" x14ac:dyDescent="0.25">
      <c r="A30" s="6" t="s">
        <v>314</v>
      </c>
      <c r="B30" s="6" t="s">
        <v>315</v>
      </c>
      <c r="C30" s="6" t="s">
        <v>57</v>
      </c>
      <c r="D30" s="6" t="s">
        <v>45</v>
      </c>
      <c r="E30" s="12">
        <v>1</v>
      </c>
      <c r="F30" s="6" t="s">
        <v>66</v>
      </c>
      <c r="G30" s="12">
        <f>SUMIFS(Allocations!$D$2:$D$73,Allocations!$B$2:$B$73,A30)</f>
        <v>72</v>
      </c>
      <c r="H30" s="6" t="str">
        <f t="shared" si="0"/>
        <v>Healthy</v>
      </c>
    </row>
    <row r="31" spans="1:8" x14ac:dyDescent="0.25">
      <c r="A31" s="6" t="s">
        <v>316</v>
      </c>
      <c r="B31" s="6" t="s">
        <v>317</v>
      </c>
      <c r="C31" s="6" t="s">
        <v>56</v>
      </c>
      <c r="D31" s="6" t="s">
        <v>45</v>
      </c>
      <c r="E31" s="12">
        <v>1</v>
      </c>
      <c r="F31" s="6" t="s">
        <v>66</v>
      </c>
      <c r="G31" s="12">
        <f>SUMIFS(Allocations!$D$2:$D$73,Allocations!$B$2:$B$73,A31)</f>
        <v>89</v>
      </c>
      <c r="H31" s="6" t="str">
        <f t="shared" si="0"/>
        <v>Healthy</v>
      </c>
    </row>
    <row r="32" spans="1:8" x14ac:dyDescent="0.25">
      <c r="A32" s="6" t="s">
        <v>318</v>
      </c>
      <c r="B32" s="6" t="s">
        <v>319</v>
      </c>
      <c r="C32" s="6" t="s">
        <v>56</v>
      </c>
      <c r="D32" s="6" t="s">
        <v>45</v>
      </c>
      <c r="E32" s="12">
        <v>1</v>
      </c>
      <c r="F32" s="6" t="s">
        <v>61</v>
      </c>
      <c r="G32" s="12">
        <f>SUMIFS(Allocations!$D$2:$D$73,Allocations!$B$2:$B$73,A32)</f>
        <v>103</v>
      </c>
      <c r="H32" s="6" t="str">
        <f t="shared" si="0"/>
        <v>High</v>
      </c>
    </row>
    <row r="33" spans="1:8" x14ac:dyDescent="0.25">
      <c r="A33" s="6" t="s">
        <v>320</v>
      </c>
      <c r="B33" s="6" t="s">
        <v>321</v>
      </c>
      <c r="C33" s="6" t="s">
        <v>54</v>
      </c>
      <c r="D33" s="6" t="s">
        <v>45</v>
      </c>
      <c r="E33" s="12">
        <v>1</v>
      </c>
      <c r="F33" s="6" t="s">
        <v>65</v>
      </c>
      <c r="G33" s="12">
        <f>SUMIFS(Allocations!$D$2:$D$73,Allocations!$B$2:$B$73,A33)</f>
        <v>71</v>
      </c>
      <c r="H33" s="6" t="str">
        <f t="shared" si="0"/>
        <v>Healthy</v>
      </c>
    </row>
    <row r="34" spans="1:8" x14ac:dyDescent="0.25">
      <c r="A34" s="6" t="s">
        <v>322</v>
      </c>
      <c r="B34" s="6" t="s">
        <v>136</v>
      </c>
      <c r="C34" s="6" t="s">
        <v>323</v>
      </c>
      <c r="D34" s="6" t="s">
        <v>47</v>
      </c>
      <c r="E34" s="12">
        <v>1</v>
      </c>
      <c r="F34" s="6" t="s">
        <v>62</v>
      </c>
      <c r="G34" s="12">
        <f>SUMIFS(Allocations!$D$2:$D$73,Allocations!$B$2:$B$73,A34)</f>
        <v>92</v>
      </c>
      <c r="H34" s="6" t="str">
        <f t="shared" ref="H34:H53" si="1">IF(G34&gt;105,"Overloaded",IF(G34&gt;=95,"High",IF(G34&gt;=70,"Healthy","Available")))</f>
        <v>Healthy</v>
      </c>
    </row>
    <row r="35" spans="1:8" x14ac:dyDescent="0.25">
      <c r="A35" s="6" t="s">
        <v>324</v>
      </c>
      <c r="B35" s="6" t="s">
        <v>143</v>
      </c>
      <c r="C35" s="6" t="s">
        <v>323</v>
      </c>
      <c r="D35" s="6" t="s">
        <v>47</v>
      </c>
      <c r="E35" s="12">
        <v>1</v>
      </c>
      <c r="F35" s="6" t="s">
        <v>65</v>
      </c>
      <c r="G35" s="12">
        <f>SUMIFS(Allocations!$D$2:$D$73,Allocations!$B$2:$B$73,A35)</f>
        <v>83</v>
      </c>
      <c r="H35" s="6" t="str">
        <f t="shared" si="1"/>
        <v>Healthy</v>
      </c>
    </row>
    <row r="36" spans="1:8" x14ac:dyDescent="0.25">
      <c r="A36" s="6" t="s">
        <v>325</v>
      </c>
      <c r="B36" s="6" t="s">
        <v>149</v>
      </c>
      <c r="C36" s="6" t="s">
        <v>323</v>
      </c>
      <c r="D36" s="6" t="s">
        <v>47</v>
      </c>
      <c r="E36" s="12">
        <v>1</v>
      </c>
      <c r="F36" s="6" t="s">
        <v>60</v>
      </c>
      <c r="G36" s="12">
        <f>SUMIFS(Allocations!$D$2:$D$73,Allocations!$B$2:$B$73,A36)</f>
        <v>73</v>
      </c>
      <c r="H36" s="6" t="str">
        <f t="shared" si="1"/>
        <v>Healthy</v>
      </c>
    </row>
    <row r="37" spans="1:8" x14ac:dyDescent="0.25">
      <c r="A37" s="6" t="s">
        <v>326</v>
      </c>
      <c r="B37" s="6" t="s">
        <v>155</v>
      </c>
      <c r="C37" s="6" t="s">
        <v>323</v>
      </c>
      <c r="D37" s="6" t="s">
        <v>47</v>
      </c>
      <c r="E37" s="12">
        <v>1</v>
      </c>
      <c r="F37" s="6" t="s">
        <v>68</v>
      </c>
      <c r="G37" s="12">
        <f>SUMIFS(Allocations!$D$2:$D$73,Allocations!$B$2:$B$73,A37)</f>
        <v>88</v>
      </c>
      <c r="H37" s="6" t="str">
        <f t="shared" si="1"/>
        <v>Healthy</v>
      </c>
    </row>
    <row r="38" spans="1:8" x14ac:dyDescent="0.25">
      <c r="A38" s="6" t="s">
        <v>327</v>
      </c>
      <c r="B38" s="6" t="s">
        <v>161</v>
      </c>
      <c r="C38" s="6" t="s">
        <v>323</v>
      </c>
      <c r="D38" s="6" t="s">
        <v>47</v>
      </c>
      <c r="E38" s="12">
        <v>1</v>
      </c>
      <c r="F38" s="6" t="s">
        <v>59</v>
      </c>
      <c r="G38" s="12">
        <f>SUMIFS(Allocations!$D$2:$D$73,Allocations!$B$2:$B$73,A38)</f>
        <v>80</v>
      </c>
      <c r="H38" s="6" t="str">
        <f t="shared" si="1"/>
        <v>Healthy</v>
      </c>
    </row>
    <row r="39" spans="1:8" x14ac:dyDescent="0.25">
      <c r="A39" s="6" t="s">
        <v>328</v>
      </c>
      <c r="B39" s="6" t="s">
        <v>167</v>
      </c>
      <c r="C39" s="6" t="s">
        <v>323</v>
      </c>
      <c r="D39" s="6" t="s">
        <v>48</v>
      </c>
      <c r="E39" s="12">
        <v>1</v>
      </c>
      <c r="F39" s="6" t="s">
        <v>69</v>
      </c>
      <c r="G39" s="12">
        <f>SUMIFS(Allocations!$D$2:$D$73,Allocations!$B$2:$B$73,A39)</f>
        <v>85</v>
      </c>
      <c r="H39" s="6" t="str">
        <f t="shared" si="1"/>
        <v>Healthy</v>
      </c>
    </row>
    <row r="40" spans="1:8" x14ac:dyDescent="0.25">
      <c r="A40" s="6" t="s">
        <v>329</v>
      </c>
      <c r="B40" s="6" t="s">
        <v>182</v>
      </c>
      <c r="C40" s="6" t="s">
        <v>323</v>
      </c>
      <c r="D40" s="6" t="s">
        <v>47</v>
      </c>
      <c r="E40" s="12">
        <v>1</v>
      </c>
      <c r="F40" s="6" t="s">
        <v>61</v>
      </c>
      <c r="G40" s="12">
        <f>SUMIFS(Allocations!$D$2:$D$73,Allocations!$B$2:$B$73,A40)</f>
        <v>87</v>
      </c>
      <c r="H40" s="6" t="str">
        <f t="shared" si="1"/>
        <v>Healthy</v>
      </c>
    </row>
    <row r="41" spans="1:8" x14ac:dyDescent="0.25">
      <c r="A41" s="6" t="s">
        <v>330</v>
      </c>
      <c r="B41" s="6" t="s">
        <v>187</v>
      </c>
      <c r="C41" s="6" t="s">
        <v>323</v>
      </c>
      <c r="D41" s="6" t="s">
        <v>47</v>
      </c>
      <c r="E41" s="12">
        <v>1</v>
      </c>
      <c r="F41" s="6" t="s">
        <v>62</v>
      </c>
      <c r="G41" s="12">
        <f>SUMIFS(Allocations!$D$2:$D$73,Allocations!$B$2:$B$73,A41)</f>
        <v>78</v>
      </c>
      <c r="H41" s="6" t="str">
        <f t="shared" si="1"/>
        <v>Healthy</v>
      </c>
    </row>
    <row r="42" spans="1:8" x14ac:dyDescent="0.25">
      <c r="A42" s="6" t="s">
        <v>331</v>
      </c>
      <c r="B42" s="6" t="s">
        <v>192</v>
      </c>
      <c r="C42" s="6" t="s">
        <v>323</v>
      </c>
      <c r="D42" s="6" t="s">
        <v>47</v>
      </c>
      <c r="E42" s="12">
        <v>1</v>
      </c>
      <c r="F42" s="6" t="s">
        <v>63</v>
      </c>
      <c r="G42" s="12">
        <f>SUMIFS(Allocations!$D$2:$D$73,Allocations!$B$2:$B$73,A42)</f>
        <v>78</v>
      </c>
      <c r="H42" s="6" t="str">
        <f t="shared" si="1"/>
        <v>Healthy</v>
      </c>
    </row>
    <row r="43" spans="1:8" x14ac:dyDescent="0.25">
      <c r="A43" s="6" t="s">
        <v>332</v>
      </c>
      <c r="B43" s="6" t="s">
        <v>197</v>
      </c>
      <c r="C43" s="6" t="s">
        <v>323</v>
      </c>
      <c r="D43" s="6" t="s">
        <v>47</v>
      </c>
      <c r="E43" s="12">
        <v>1</v>
      </c>
      <c r="F43" s="6" t="s">
        <v>65</v>
      </c>
      <c r="G43" s="12">
        <f>SUMIFS(Allocations!$D$2:$D$73,Allocations!$B$2:$B$73,A43)</f>
        <v>98</v>
      </c>
      <c r="H43" s="6" t="str">
        <f t="shared" si="1"/>
        <v>High</v>
      </c>
    </row>
    <row r="44" spans="1:8" x14ac:dyDescent="0.25">
      <c r="A44" s="6" t="s">
        <v>333</v>
      </c>
      <c r="B44" s="6" t="s">
        <v>222</v>
      </c>
      <c r="C44" s="6" t="s">
        <v>323</v>
      </c>
      <c r="D44" s="6" t="s">
        <v>47</v>
      </c>
      <c r="E44" s="12">
        <v>1</v>
      </c>
      <c r="F44" s="6" t="s">
        <v>67</v>
      </c>
      <c r="G44" s="12">
        <f>SUMIFS(Allocations!$D$2:$D$73,Allocations!$B$2:$B$73,A44)</f>
        <v>88</v>
      </c>
      <c r="H44" s="6" t="str">
        <f t="shared" si="1"/>
        <v>Healthy</v>
      </c>
    </row>
    <row r="45" spans="1:8" x14ac:dyDescent="0.25">
      <c r="A45" s="6" t="s">
        <v>334</v>
      </c>
      <c r="B45" s="6" t="s">
        <v>226</v>
      </c>
      <c r="C45" s="6" t="s">
        <v>323</v>
      </c>
      <c r="D45" s="6" t="s">
        <v>47</v>
      </c>
      <c r="E45" s="12">
        <v>1</v>
      </c>
      <c r="F45" s="6" t="s">
        <v>66</v>
      </c>
      <c r="G45" s="12">
        <f>SUMIFS(Allocations!$D$2:$D$73,Allocations!$B$2:$B$73,A45)</f>
        <v>98</v>
      </c>
      <c r="H45" s="6" t="str">
        <f t="shared" si="1"/>
        <v>High</v>
      </c>
    </row>
    <row r="46" spans="1:8" x14ac:dyDescent="0.25">
      <c r="A46" s="6" t="s">
        <v>335</v>
      </c>
      <c r="B46" s="6" t="s">
        <v>336</v>
      </c>
      <c r="C46" s="6" t="s">
        <v>337</v>
      </c>
      <c r="D46" s="6" t="s">
        <v>48</v>
      </c>
      <c r="E46" s="12">
        <v>1</v>
      </c>
      <c r="F46" s="6" t="s">
        <v>63</v>
      </c>
      <c r="G46" s="12">
        <f>SUMIFS(Allocations!$D$2:$D$73,Allocations!$B$2:$B$73,A46)</f>
        <v>83</v>
      </c>
      <c r="H46" s="6" t="str">
        <f t="shared" si="1"/>
        <v>Healthy</v>
      </c>
    </row>
    <row r="47" spans="1:8" x14ac:dyDescent="0.25">
      <c r="A47" s="6" t="s">
        <v>338</v>
      </c>
      <c r="B47" s="6" t="s">
        <v>339</v>
      </c>
      <c r="C47" s="6" t="s">
        <v>340</v>
      </c>
      <c r="D47" s="6" t="s">
        <v>46</v>
      </c>
      <c r="E47" s="12">
        <v>1</v>
      </c>
      <c r="F47" s="6" t="s">
        <v>63</v>
      </c>
      <c r="G47" s="12">
        <f>SUMIFS(Allocations!$D$2:$D$73,Allocations!$B$2:$B$73,A47)</f>
        <v>97</v>
      </c>
      <c r="H47" s="6" t="str">
        <f t="shared" si="1"/>
        <v>High</v>
      </c>
    </row>
    <row r="48" spans="1:8" x14ac:dyDescent="0.25">
      <c r="A48" s="6" t="s">
        <v>341</v>
      </c>
      <c r="B48" s="6" t="s">
        <v>342</v>
      </c>
      <c r="C48" s="6" t="s">
        <v>340</v>
      </c>
      <c r="D48" s="6" t="s">
        <v>46</v>
      </c>
      <c r="E48" s="12">
        <v>1</v>
      </c>
      <c r="F48" s="6" t="s">
        <v>62</v>
      </c>
      <c r="G48" s="12">
        <f>SUMIFS(Allocations!$D$2:$D$73,Allocations!$B$2:$B$73,A48)</f>
        <v>85</v>
      </c>
      <c r="H48" s="6" t="str">
        <f t="shared" si="1"/>
        <v>Healthy</v>
      </c>
    </row>
    <row r="49" spans="1:8" x14ac:dyDescent="0.25">
      <c r="A49" s="6" t="s">
        <v>343</v>
      </c>
      <c r="B49" s="6" t="s">
        <v>344</v>
      </c>
      <c r="C49" s="6" t="s">
        <v>340</v>
      </c>
      <c r="D49" s="6" t="s">
        <v>46</v>
      </c>
      <c r="E49" s="12">
        <v>1</v>
      </c>
      <c r="F49" s="6" t="s">
        <v>66</v>
      </c>
      <c r="G49" s="12">
        <f>SUMIFS(Allocations!$D$2:$D$73,Allocations!$B$2:$B$73,A49)</f>
        <v>82</v>
      </c>
      <c r="H49" s="6" t="str">
        <f t="shared" si="1"/>
        <v>Healthy</v>
      </c>
    </row>
    <row r="50" spans="1:8" x14ac:dyDescent="0.25">
      <c r="A50" s="6" t="s">
        <v>345</v>
      </c>
      <c r="B50" s="6" t="s">
        <v>346</v>
      </c>
      <c r="C50" s="6" t="s">
        <v>340</v>
      </c>
      <c r="D50" s="6" t="s">
        <v>46</v>
      </c>
      <c r="E50" s="12">
        <v>1</v>
      </c>
      <c r="F50" s="6" t="s">
        <v>68</v>
      </c>
      <c r="G50" s="12">
        <f>SUMIFS(Allocations!$D$2:$D$73,Allocations!$B$2:$B$73,A50)</f>
        <v>94</v>
      </c>
      <c r="H50" s="6" t="str">
        <f t="shared" si="1"/>
        <v>Healthy</v>
      </c>
    </row>
    <row r="51" spans="1:8" x14ac:dyDescent="0.25">
      <c r="A51" s="6" t="s">
        <v>347</v>
      </c>
      <c r="B51" s="6" t="s">
        <v>348</v>
      </c>
      <c r="C51" s="6" t="s">
        <v>340</v>
      </c>
      <c r="D51" s="6" t="s">
        <v>46</v>
      </c>
      <c r="E51" s="12">
        <v>1</v>
      </c>
      <c r="F51" s="6" t="s">
        <v>63</v>
      </c>
      <c r="G51" s="12">
        <f>SUMIFS(Allocations!$D$2:$D$73,Allocations!$B$2:$B$73,A51)</f>
        <v>74</v>
      </c>
      <c r="H51" s="6" t="str">
        <f t="shared" si="1"/>
        <v>Healthy</v>
      </c>
    </row>
    <row r="52" spans="1:8" x14ac:dyDescent="0.25">
      <c r="A52" s="6" t="s">
        <v>349</v>
      </c>
      <c r="B52" s="6" t="s">
        <v>350</v>
      </c>
      <c r="C52" s="6" t="s">
        <v>340</v>
      </c>
      <c r="D52" s="6" t="s">
        <v>46</v>
      </c>
      <c r="E52" s="12">
        <v>1</v>
      </c>
      <c r="F52" s="6" t="s">
        <v>67</v>
      </c>
      <c r="G52" s="12">
        <f>SUMIFS(Allocations!$D$2:$D$73,Allocations!$B$2:$B$73,A52)</f>
        <v>78</v>
      </c>
      <c r="H52" s="6" t="str">
        <f t="shared" si="1"/>
        <v>Healthy</v>
      </c>
    </row>
    <row r="53" spans="1:8" x14ac:dyDescent="0.25">
      <c r="A53" s="6" t="s">
        <v>351</v>
      </c>
      <c r="B53" s="6" t="s">
        <v>352</v>
      </c>
      <c r="C53" s="6" t="s">
        <v>340</v>
      </c>
      <c r="D53" s="6" t="s">
        <v>46</v>
      </c>
      <c r="E53" s="12">
        <v>1</v>
      </c>
      <c r="F53" s="6" t="s">
        <v>59</v>
      </c>
      <c r="G53" s="12">
        <f>SUMIFS(Allocations!$D$2:$D$73,Allocations!$B$2:$B$73,A53)</f>
        <v>95</v>
      </c>
      <c r="H53" s="6" t="str">
        <f t="shared" si="1"/>
        <v>High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3E41-6707-479A-B21C-069D40F71EF7}">
  <dimension ref="A1:E73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3" style="6" customWidth="1"/>
    <col min="2" max="3" width="10.6328125" style="6" customWidth="1"/>
    <col min="4" max="4" width="14.08984375" style="6" customWidth="1"/>
    <col min="5" max="5" width="24.08984375" style="6" bestFit="1" customWidth="1"/>
    <col min="6" max="16384" width="8.7265625" style="6"/>
  </cols>
  <sheetData>
    <row r="1" spans="1:5" ht="18" customHeight="1" x14ac:dyDescent="0.3">
      <c r="A1" s="10" t="s">
        <v>353</v>
      </c>
      <c r="B1" s="10" t="s">
        <v>262</v>
      </c>
      <c r="C1" s="10" t="s">
        <v>105</v>
      </c>
      <c r="D1" s="10" t="s">
        <v>354</v>
      </c>
      <c r="E1" s="10" t="s">
        <v>355</v>
      </c>
    </row>
    <row r="2" spans="1:5" x14ac:dyDescent="0.25">
      <c r="A2" s="6" t="s">
        <v>356</v>
      </c>
      <c r="B2" s="6" t="s">
        <v>283</v>
      </c>
      <c r="C2" s="6" t="s">
        <v>140</v>
      </c>
      <c r="D2" s="12">
        <v>65</v>
      </c>
      <c r="E2" s="6" t="s">
        <v>357</v>
      </c>
    </row>
    <row r="3" spans="1:5" x14ac:dyDescent="0.25">
      <c r="A3" s="6" t="s">
        <v>358</v>
      </c>
      <c r="B3" s="6" t="s">
        <v>283</v>
      </c>
      <c r="C3" s="6" t="s">
        <v>133</v>
      </c>
      <c r="D3" s="12">
        <v>47</v>
      </c>
      <c r="E3" s="6" t="s">
        <v>357</v>
      </c>
    </row>
    <row r="4" spans="1:5" x14ac:dyDescent="0.25">
      <c r="A4" s="6" t="s">
        <v>359</v>
      </c>
      <c r="B4" s="6" t="s">
        <v>275</v>
      </c>
      <c r="C4" s="6" t="s">
        <v>133</v>
      </c>
      <c r="D4" s="12">
        <v>55</v>
      </c>
      <c r="E4" s="6" t="s">
        <v>360</v>
      </c>
    </row>
    <row r="5" spans="1:5" x14ac:dyDescent="0.25">
      <c r="A5" s="6" t="s">
        <v>361</v>
      </c>
      <c r="B5" s="6" t="s">
        <v>275</v>
      </c>
      <c r="C5" s="6" t="s">
        <v>146</v>
      </c>
      <c r="D5" s="12">
        <v>41</v>
      </c>
      <c r="E5" s="6" t="s">
        <v>360</v>
      </c>
    </row>
    <row r="6" spans="1:5" x14ac:dyDescent="0.25">
      <c r="A6" s="6" t="s">
        <v>362</v>
      </c>
      <c r="B6" s="6" t="s">
        <v>269</v>
      </c>
      <c r="C6" s="6" t="s">
        <v>133</v>
      </c>
      <c r="D6" s="12">
        <v>50</v>
      </c>
      <c r="E6" s="6" t="s">
        <v>363</v>
      </c>
    </row>
    <row r="7" spans="1:5" x14ac:dyDescent="0.25">
      <c r="A7" s="6" t="s">
        <v>364</v>
      </c>
      <c r="B7" s="6" t="s">
        <v>269</v>
      </c>
      <c r="C7" s="6" t="s">
        <v>152</v>
      </c>
      <c r="D7" s="12">
        <v>34</v>
      </c>
      <c r="E7" s="6" t="s">
        <v>365</v>
      </c>
    </row>
    <row r="8" spans="1:5" x14ac:dyDescent="0.25">
      <c r="A8" s="6" t="s">
        <v>366</v>
      </c>
      <c r="B8" s="6" t="s">
        <v>278</v>
      </c>
      <c r="C8" s="6" t="s">
        <v>146</v>
      </c>
      <c r="D8" s="12">
        <v>61</v>
      </c>
      <c r="E8" s="6" t="s">
        <v>367</v>
      </c>
    </row>
    <row r="9" spans="1:5" x14ac:dyDescent="0.25">
      <c r="A9" s="6" t="s">
        <v>368</v>
      </c>
      <c r="B9" s="6" t="s">
        <v>270</v>
      </c>
      <c r="C9" s="6" t="s">
        <v>211</v>
      </c>
      <c r="D9" s="12">
        <v>65</v>
      </c>
      <c r="E9" s="6" t="s">
        <v>365</v>
      </c>
    </row>
    <row r="10" spans="1:5" x14ac:dyDescent="0.25">
      <c r="A10" s="6" t="s">
        <v>369</v>
      </c>
      <c r="B10" s="6" t="s">
        <v>270</v>
      </c>
      <c r="C10" s="6" t="s">
        <v>146</v>
      </c>
      <c r="D10" s="12">
        <v>41</v>
      </c>
      <c r="E10" s="6" t="s">
        <v>365</v>
      </c>
    </row>
    <row r="11" spans="1:5" x14ac:dyDescent="0.25">
      <c r="A11" s="6" t="s">
        <v>370</v>
      </c>
      <c r="B11" s="6" t="s">
        <v>271</v>
      </c>
      <c r="C11" s="6" t="s">
        <v>199</v>
      </c>
      <c r="D11" s="12">
        <v>72</v>
      </c>
      <c r="E11" s="6" t="s">
        <v>365</v>
      </c>
    </row>
    <row r="12" spans="1:5" x14ac:dyDescent="0.25">
      <c r="A12" s="6" t="s">
        <v>371</v>
      </c>
      <c r="B12" s="6" t="s">
        <v>271</v>
      </c>
      <c r="C12" s="6" t="s">
        <v>244</v>
      </c>
      <c r="D12" s="12">
        <v>40</v>
      </c>
      <c r="E12" s="6" t="s">
        <v>365</v>
      </c>
    </row>
    <row r="13" spans="1:5" x14ac:dyDescent="0.25">
      <c r="A13" s="6" t="s">
        <v>372</v>
      </c>
      <c r="B13" s="6" t="s">
        <v>272</v>
      </c>
      <c r="C13" s="6" t="s">
        <v>207</v>
      </c>
      <c r="D13" s="12">
        <v>113</v>
      </c>
      <c r="E13" s="6" t="s">
        <v>360</v>
      </c>
    </row>
    <row r="14" spans="1:5" x14ac:dyDescent="0.25">
      <c r="A14" s="6" t="s">
        <v>373</v>
      </c>
      <c r="B14" s="6" t="s">
        <v>273</v>
      </c>
      <c r="C14" s="6" t="s">
        <v>133</v>
      </c>
      <c r="D14" s="12">
        <v>63</v>
      </c>
      <c r="E14" s="6" t="s">
        <v>360</v>
      </c>
    </row>
    <row r="15" spans="1:5" x14ac:dyDescent="0.25">
      <c r="A15" s="6" t="s">
        <v>374</v>
      </c>
      <c r="B15" s="6" t="s">
        <v>277</v>
      </c>
      <c r="C15" s="6" t="s">
        <v>179</v>
      </c>
      <c r="D15" s="12">
        <v>59</v>
      </c>
      <c r="E15" s="6" t="s">
        <v>367</v>
      </c>
    </row>
    <row r="16" spans="1:5" x14ac:dyDescent="0.25">
      <c r="A16" s="6" t="s">
        <v>375</v>
      </c>
      <c r="B16" s="6" t="s">
        <v>280</v>
      </c>
      <c r="C16" s="6" t="s">
        <v>228</v>
      </c>
      <c r="D16" s="12">
        <v>50</v>
      </c>
      <c r="E16" s="6" t="s">
        <v>376</v>
      </c>
    </row>
    <row r="17" spans="1:5" x14ac:dyDescent="0.25">
      <c r="A17" s="6" t="s">
        <v>377</v>
      </c>
      <c r="B17" s="6" t="s">
        <v>281</v>
      </c>
      <c r="C17" s="6" t="s">
        <v>195</v>
      </c>
      <c r="D17" s="12">
        <v>24</v>
      </c>
      <c r="E17" s="6" t="s">
        <v>357</v>
      </c>
    </row>
    <row r="18" spans="1:5" x14ac:dyDescent="0.25">
      <c r="A18" s="6" t="s">
        <v>378</v>
      </c>
      <c r="B18" s="6" t="s">
        <v>281</v>
      </c>
      <c r="C18" s="6" t="s">
        <v>140</v>
      </c>
      <c r="D18" s="12">
        <v>27</v>
      </c>
      <c r="E18" s="6" t="s">
        <v>357</v>
      </c>
    </row>
    <row r="19" spans="1:5" x14ac:dyDescent="0.25">
      <c r="A19" s="6" t="s">
        <v>379</v>
      </c>
      <c r="B19" s="6" t="s">
        <v>282</v>
      </c>
      <c r="C19" s="6" t="s">
        <v>241</v>
      </c>
      <c r="D19" s="12">
        <v>47</v>
      </c>
      <c r="E19" s="6" t="s">
        <v>357</v>
      </c>
    </row>
    <row r="20" spans="1:5" x14ac:dyDescent="0.25">
      <c r="A20" s="6" t="s">
        <v>380</v>
      </c>
      <c r="B20" s="6" t="s">
        <v>285</v>
      </c>
      <c r="C20" s="6" t="s">
        <v>189</v>
      </c>
      <c r="D20" s="12">
        <v>46</v>
      </c>
      <c r="E20" s="6" t="s">
        <v>381</v>
      </c>
    </row>
    <row r="21" spans="1:5" x14ac:dyDescent="0.25">
      <c r="A21" s="6" t="s">
        <v>382</v>
      </c>
      <c r="B21" s="6" t="s">
        <v>285</v>
      </c>
      <c r="C21" s="6" t="s">
        <v>217</v>
      </c>
      <c r="D21" s="12">
        <v>49</v>
      </c>
      <c r="E21" s="6" t="s">
        <v>381</v>
      </c>
    </row>
    <row r="22" spans="1:5" x14ac:dyDescent="0.25">
      <c r="A22" s="6" t="s">
        <v>383</v>
      </c>
      <c r="B22" s="6" t="s">
        <v>286</v>
      </c>
      <c r="C22" s="6" t="s">
        <v>231</v>
      </c>
      <c r="D22" s="12">
        <v>48</v>
      </c>
      <c r="E22" s="6" t="s">
        <v>376</v>
      </c>
    </row>
    <row r="23" spans="1:5" x14ac:dyDescent="0.25">
      <c r="A23" s="6" t="s">
        <v>384</v>
      </c>
      <c r="B23" s="6" t="s">
        <v>286</v>
      </c>
      <c r="C23" s="6" t="s">
        <v>207</v>
      </c>
      <c r="D23" s="12">
        <v>52</v>
      </c>
      <c r="E23" s="6" t="s">
        <v>376</v>
      </c>
    </row>
    <row r="24" spans="1:5" x14ac:dyDescent="0.25">
      <c r="A24" s="6" t="s">
        <v>385</v>
      </c>
      <c r="B24" s="6" t="s">
        <v>288</v>
      </c>
      <c r="C24" s="6" t="s">
        <v>235</v>
      </c>
      <c r="D24" s="12">
        <v>54</v>
      </c>
      <c r="E24" s="6" t="s">
        <v>376</v>
      </c>
    </row>
    <row r="25" spans="1:5" x14ac:dyDescent="0.25">
      <c r="A25" s="6" t="s">
        <v>386</v>
      </c>
      <c r="B25" s="6" t="s">
        <v>288</v>
      </c>
      <c r="C25" s="6" t="s">
        <v>185</v>
      </c>
      <c r="D25" s="12">
        <v>34</v>
      </c>
      <c r="E25" s="6" t="s">
        <v>376</v>
      </c>
    </row>
    <row r="26" spans="1:5" x14ac:dyDescent="0.25">
      <c r="A26" s="6" t="s">
        <v>387</v>
      </c>
      <c r="B26" s="6" t="s">
        <v>290</v>
      </c>
      <c r="C26" s="6" t="s">
        <v>224</v>
      </c>
      <c r="D26" s="12">
        <v>70</v>
      </c>
      <c r="E26" s="6" t="s">
        <v>376</v>
      </c>
    </row>
    <row r="27" spans="1:5" x14ac:dyDescent="0.25">
      <c r="A27" s="6" t="s">
        <v>388</v>
      </c>
      <c r="B27" s="6" t="s">
        <v>291</v>
      </c>
      <c r="C27" s="6" t="s">
        <v>146</v>
      </c>
      <c r="D27" s="12">
        <v>48</v>
      </c>
      <c r="E27" s="6" t="s">
        <v>360</v>
      </c>
    </row>
    <row r="28" spans="1:5" x14ac:dyDescent="0.25">
      <c r="A28" s="6" t="s">
        <v>389</v>
      </c>
      <c r="B28" s="6" t="s">
        <v>291</v>
      </c>
      <c r="C28" s="6" t="s">
        <v>211</v>
      </c>
      <c r="D28" s="12">
        <v>44</v>
      </c>
      <c r="E28" s="6" t="s">
        <v>360</v>
      </c>
    </row>
    <row r="29" spans="1:5" x14ac:dyDescent="0.25">
      <c r="A29" s="6" t="s">
        <v>390</v>
      </c>
      <c r="B29" s="6" t="s">
        <v>293</v>
      </c>
      <c r="C29" s="6" t="s">
        <v>140</v>
      </c>
      <c r="D29" s="12">
        <v>89</v>
      </c>
      <c r="E29" s="6" t="s">
        <v>360</v>
      </c>
    </row>
    <row r="30" spans="1:5" x14ac:dyDescent="0.25">
      <c r="A30" s="6" t="s">
        <v>391</v>
      </c>
      <c r="B30" s="6" t="s">
        <v>295</v>
      </c>
      <c r="C30" s="6" t="s">
        <v>217</v>
      </c>
      <c r="D30" s="12">
        <v>40</v>
      </c>
      <c r="E30" s="6" t="s">
        <v>365</v>
      </c>
    </row>
    <row r="31" spans="1:5" x14ac:dyDescent="0.25">
      <c r="A31" s="6" t="s">
        <v>392</v>
      </c>
      <c r="B31" s="6" t="s">
        <v>295</v>
      </c>
      <c r="C31" s="6" t="s">
        <v>189</v>
      </c>
      <c r="D31" s="12">
        <v>36</v>
      </c>
      <c r="E31" s="6" t="s">
        <v>365</v>
      </c>
    </row>
    <row r="32" spans="1:5" x14ac:dyDescent="0.25">
      <c r="A32" s="6" t="s">
        <v>393</v>
      </c>
      <c r="B32" s="6" t="s">
        <v>297</v>
      </c>
      <c r="C32" s="6" t="s">
        <v>164</v>
      </c>
      <c r="D32" s="12">
        <v>96</v>
      </c>
      <c r="E32" s="6" t="s">
        <v>365</v>
      </c>
    </row>
    <row r="33" spans="1:5" x14ac:dyDescent="0.25">
      <c r="A33" s="6" t="s">
        <v>394</v>
      </c>
      <c r="B33" s="6" t="s">
        <v>299</v>
      </c>
      <c r="C33" s="6" t="s">
        <v>214</v>
      </c>
      <c r="D33" s="12">
        <v>47</v>
      </c>
      <c r="E33" s="6" t="s">
        <v>365</v>
      </c>
    </row>
    <row r="34" spans="1:5" x14ac:dyDescent="0.25">
      <c r="A34" s="6" t="s">
        <v>395</v>
      </c>
      <c r="B34" s="6" t="s">
        <v>299</v>
      </c>
      <c r="C34" s="6" t="s">
        <v>133</v>
      </c>
      <c r="D34" s="12">
        <v>45</v>
      </c>
      <c r="E34" s="6" t="s">
        <v>365</v>
      </c>
    </row>
    <row r="35" spans="1:5" x14ac:dyDescent="0.25">
      <c r="A35" s="6" t="s">
        <v>396</v>
      </c>
      <c r="B35" s="6" t="s">
        <v>301</v>
      </c>
      <c r="C35" s="6" t="s">
        <v>241</v>
      </c>
      <c r="D35" s="12">
        <v>102</v>
      </c>
      <c r="E35" s="6" t="s">
        <v>367</v>
      </c>
    </row>
    <row r="36" spans="1:5" x14ac:dyDescent="0.25">
      <c r="A36" s="6" t="s">
        <v>397</v>
      </c>
      <c r="B36" s="6" t="s">
        <v>303</v>
      </c>
      <c r="C36" s="6" t="s">
        <v>241</v>
      </c>
      <c r="D36" s="12">
        <v>101</v>
      </c>
      <c r="E36" s="6" t="s">
        <v>367</v>
      </c>
    </row>
    <row r="37" spans="1:5" x14ac:dyDescent="0.25">
      <c r="A37" s="6" t="s">
        <v>398</v>
      </c>
      <c r="B37" s="6" t="s">
        <v>305</v>
      </c>
      <c r="C37" s="6" t="s">
        <v>217</v>
      </c>
      <c r="D37" s="12">
        <v>47</v>
      </c>
      <c r="E37" s="6" t="s">
        <v>367</v>
      </c>
    </row>
    <row r="38" spans="1:5" x14ac:dyDescent="0.25">
      <c r="A38" s="6" t="s">
        <v>399</v>
      </c>
      <c r="B38" s="6" t="s">
        <v>305</v>
      </c>
      <c r="C38" s="6" t="s">
        <v>189</v>
      </c>
      <c r="D38" s="12">
        <v>36</v>
      </c>
      <c r="E38" s="6" t="s">
        <v>367</v>
      </c>
    </row>
    <row r="39" spans="1:5" x14ac:dyDescent="0.25">
      <c r="A39" s="6" t="s">
        <v>400</v>
      </c>
      <c r="B39" s="6" t="s">
        <v>307</v>
      </c>
      <c r="C39" s="6" t="s">
        <v>185</v>
      </c>
      <c r="D39" s="12">
        <v>74</v>
      </c>
      <c r="E39" s="6" t="s">
        <v>381</v>
      </c>
    </row>
    <row r="40" spans="1:5" x14ac:dyDescent="0.25">
      <c r="A40" s="6" t="s">
        <v>401</v>
      </c>
      <c r="B40" s="6" t="s">
        <v>309</v>
      </c>
      <c r="C40" s="6" t="s">
        <v>224</v>
      </c>
      <c r="D40" s="12">
        <v>79</v>
      </c>
      <c r="E40" s="6" t="s">
        <v>381</v>
      </c>
    </row>
    <row r="41" spans="1:5" x14ac:dyDescent="0.25">
      <c r="A41" s="6" t="s">
        <v>402</v>
      </c>
      <c r="B41" s="6" t="s">
        <v>311</v>
      </c>
      <c r="C41" s="6" t="s">
        <v>220</v>
      </c>
      <c r="D41" s="12">
        <v>100</v>
      </c>
      <c r="E41" s="6" t="s">
        <v>403</v>
      </c>
    </row>
    <row r="42" spans="1:5" x14ac:dyDescent="0.25">
      <c r="A42" s="6" t="s">
        <v>404</v>
      </c>
      <c r="B42" s="6" t="s">
        <v>313</v>
      </c>
      <c r="C42" s="6" t="s">
        <v>185</v>
      </c>
      <c r="D42" s="12">
        <v>35</v>
      </c>
      <c r="E42" s="6" t="s">
        <v>403</v>
      </c>
    </row>
    <row r="43" spans="1:5" x14ac:dyDescent="0.25">
      <c r="A43" s="6" t="s">
        <v>405</v>
      </c>
      <c r="B43" s="6" t="s">
        <v>313</v>
      </c>
      <c r="C43" s="6" t="s">
        <v>214</v>
      </c>
      <c r="D43" s="12">
        <v>42</v>
      </c>
      <c r="E43" s="6" t="s">
        <v>403</v>
      </c>
    </row>
    <row r="44" spans="1:5" x14ac:dyDescent="0.25">
      <c r="A44" s="6" t="s">
        <v>406</v>
      </c>
      <c r="B44" s="6" t="s">
        <v>314</v>
      </c>
      <c r="C44" s="6" t="s">
        <v>224</v>
      </c>
      <c r="D44" s="12">
        <v>72</v>
      </c>
      <c r="E44" s="6" t="s">
        <v>403</v>
      </c>
    </row>
    <row r="45" spans="1:5" x14ac:dyDescent="0.25">
      <c r="A45" s="6" t="s">
        <v>407</v>
      </c>
      <c r="B45" s="6" t="s">
        <v>316</v>
      </c>
      <c r="C45" s="6" t="s">
        <v>224</v>
      </c>
      <c r="D45" s="12">
        <v>89</v>
      </c>
      <c r="E45" s="6" t="s">
        <v>408</v>
      </c>
    </row>
    <row r="46" spans="1:5" x14ac:dyDescent="0.25">
      <c r="A46" s="6" t="s">
        <v>409</v>
      </c>
      <c r="B46" s="6" t="s">
        <v>318</v>
      </c>
      <c r="C46" s="6" t="s">
        <v>179</v>
      </c>
      <c r="D46" s="12">
        <v>103</v>
      </c>
      <c r="E46" s="6" t="s">
        <v>408</v>
      </c>
    </row>
    <row r="47" spans="1:5" x14ac:dyDescent="0.25">
      <c r="A47" s="6" t="s">
        <v>410</v>
      </c>
      <c r="B47" s="6" t="s">
        <v>320</v>
      </c>
      <c r="C47" s="6" t="s">
        <v>140</v>
      </c>
      <c r="D47" s="12">
        <v>71</v>
      </c>
      <c r="E47" s="6" t="s">
        <v>357</v>
      </c>
    </row>
    <row r="48" spans="1:5" x14ac:dyDescent="0.25">
      <c r="A48" s="6" t="s">
        <v>411</v>
      </c>
      <c r="B48" s="6" t="s">
        <v>322</v>
      </c>
      <c r="C48" s="6" t="s">
        <v>133</v>
      </c>
      <c r="D48" s="12">
        <v>57</v>
      </c>
      <c r="E48" s="6" t="s">
        <v>412</v>
      </c>
    </row>
    <row r="49" spans="1:5" x14ac:dyDescent="0.25">
      <c r="A49" s="6" t="s">
        <v>413</v>
      </c>
      <c r="B49" s="6" t="s">
        <v>322</v>
      </c>
      <c r="C49" s="6" t="s">
        <v>214</v>
      </c>
      <c r="D49" s="12">
        <v>35</v>
      </c>
      <c r="E49" s="6" t="s">
        <v>412</v>
      </c>
    </row>
    <row r="50" spans="1:5" x14ac:dyDescent="0.25">
      <c r="A50" s="6" t="s">
        <v>414</v>
      </c>
      <c r="B50" s="6" t="s">
        <v>324</v>
      </c>
      <c r="C50" s="6" t="s">
        <v>140</v>
      </c>
      <c r="D50" s="12">
        <v>51</v>
      </c>
      <c r="E50" s="6" t="s">
        <v>412</v>
      </c>
    </row>
    <row r="51" spans="1:5" x14ac:dyDescent="0.25">
      <c r="A51" s="6" t="s">
        <v>415</v>
      </c>
      <c r="B51" s="6" t="s">
        <v>324</v>
      </c>
      <c r="C51" s="6" t="s">
        <v>238</v>
      </c>
      <c r="D51" s="12">
        <v>32</v>
      </c>
      <c r="E51" s="6" t="s">
        <v>412</v>
      </c>
    </row>
    <row r="52" spans="1:5" x14ac:dyDescent="0.25">
      <c r="A52" s="6" t="s">
        <v>416</v>
      </c>
      <c r="B52" s="6" t="s">
        <v>325</v>
      </c>
      <c r="C52" s="6" t="s">
        <v>146</v>
      </c>
      <c r="D52" s="12">
        <v>73</v>
      </c>
      <c r="E52" s="6" t="s">
        <v>412</v>
      </c>
    </row>
    <row r="53" spans="1:5" x14ac:dyDescent="0.25">
      <c r="A53" s="6" t="s">
        <v>417</v>
      </c>
      <c r="B53" s="6" t="s">
        <v>326</v>
      </c>
      <c r="C53" s="6" t="s">
        <v>152</v>
      </c>
      <c r="D53" s="12">
        <v>88</v>
      </c>
      <c r="E53" s="6" t="s">
        <v>412</v>
      </c>
    </row>
    <row r="54" spans="1:5" x14ac:dyDescent="0.25">
      <c r="A54" s="6" t="s">
        <v>418</v>
      </c>
      <c r="B54" s="6" t="s">
        <v>327</v>
      </c>
      <c r="C54" s="6" t="s">
        <v>231</v>
      </c>
      <c r="D54" s="12">
        <v>80</v>
      </c>
      <c r="E54" s="6" t="s">
        <v>412</v>
      </c>
    </row>
    <row r="55" spans="1:5" x14ac:dyDescent="0.25">
      <c r="A55" s="6" t="s">
        <v>419</v>
      </c>
      <c r="B55" s="6" t="s">
        <v>328</v>
      </c>
      <c r="C55" s="6" t="s">
        <v>228</v>
      </c>
      <c r="D55" s="12">
        <v>85</v>
      </c>
      <c r="E55" s="6" t="s">
        <v>412</v>
      </c>
    </row>
    <row r="56" spans="1:5" x14ac:dyDescent="0.25">
      <c r="A56" s="6" t="s">
        <v>420</v>
      </c>
      <c r="B56" s="6" t="s">
        <v>329</v>
      </c>
      <c r="C56" s="6" t="s">
        <v>179</v>
      </c>
      <c r="D56" s="12">
        <v>87</v>
      </c>
      <c r="E56" s="6" t="s">
        <v>412</v>
      </c>
    </row>
    <row r="57" spans="1:5" x14ac:dyDescent="0.25">
      <c r="A57" s="6" t="s">
        <v>421</v>
      </c>
      <c r="B57" s="6" t="s">
        <v>330</v>
      </c>
      <c r="C57" s="6" t="s">
        <v>235</v>
      </c>
      <c r="D57" s="12">
        <v>78</v>
      </c>
      <c r="E57" s="6" t="s">
        <v>412</v>
      </c>
    </row>
    <row r="58" spans="1:5" x14ac:dyDescent="0.25">
      <c r="A58" s="6" t="s">
        <v>422</v>
      </c>
      <c r="B58" s="6" t="s">
        <v>331</v>
      </c>
      <c r="C58" s="6" t="s">
        <v>217</v>
      </c>
      <c r="D58" s="12">
        <v>37</v>
      </c>
      <c r="E58" s="6" t="s">
        <v>412</v>
      </c>
    </row>
    <row r="59" spans="1:5" x14ac:dyDescent="0.25">
      <c r="A59" s="6" t="s">
        <v>423</v>
      </c>
      <c r="B59" s="6" t="s">
        <v>331</v>
      </c>
      <c r="C59" s="6" t="s">
        <v>189</v>
      </c>
      <c r="D59" s="12">
        <v>41</v>
      </c>
      <c r="E59" s="6" t="s">
        <v>412</v>
      </c>
    </row>
    <row r="60" spans="1:5" x14ac:dyDescent="0.25">
      <c r="A60" s="6" t="s">
        <v>424</v>
      </c>
      <c r="B60" s="6" t="s">
        <v>332</v>
      </c>
      <c r="C60" s="6" t="s">
        <v>238</v>
      </c>
      <c r="D60" s="12">
        <v>56</v>
      </c>
      <c r="E60" s="6" t="s">
        <v>412</v>
      </c>
    </row>
    <row r="61" spans="1:5" x14ac:dyDescent="0.25">
      <c r="A61" s="6" t="s">
        <v>425</v>
      </c>
      <c r="B61" s="6" t="s">
        <v>332</v>
      </c>
      <c r="C61" s="6" t="s">
        <v>140</v>
      </c>
      <c r="D61" s="12">
        <v>42</v>
      </c>
      <c r="E61" s="6" t="s">
        <v>412</v>
      </c>
    </row>
    <row r="62" spans="1:5" x14ac:dyDescent="0.25">
      <c r="A62" s="6" t="s">
        <v>426</v>
      </c>
      <c r="B62" s="6" t="s">
        <v>333</v>
      </c>
      <c r="C62" s="6" t="s">
        <v>241</v>
      </c>
      <c r="D62" s="12">
        <v>88</v>
      </c>
      <c r="E62" s="6" t="s">
        <v>412</v>
      </c>
    </row>
    <row r="63" spans="1:5" x14ac:dyDescent="0.25">
      <c r="A63" s="6" t="s">
        <v>427</v>
      </c>
      <c r="B63" s="6" t="s">
        <v>334</v>
      </c>
      <c r="C63" s="6" t="s">
        <v>224</v>
      </c>
      <c r="D63" s="12">
        <v>98</v>
      </c>
      <c r="E63" s="6" t="s">
        <v>412</v>
      </c>
    </row>
    <row r="64" spans="1:5" x14ac:dyDescent="0.25">
      <c r="A64" s="6" t="s">
        <v>428</v>
      </c>
      <c r="B64" s="6" t="s">
        <v>335</v>
      </c>
      <c r="C64" s="6" t="s">
        <v>189</v>
      </c>
      <c r="D64" s="12">
        <v>83</v>
      </c>
      <c r="E64" s="6" t="s">
        <v>429</v>
      </c>
    </row>
    <row r="65" spans="1:5" x14ac:dyDescent="0.25">
      <c r="A65" s="6" t="s">
        <v>430</v>
      </c>
      <c r="B65" s="6" t="s">
        <v>338</v>
      </c>
      <c r="C65" s="6" t="s">
        <v>189</v>
      </c>
      <c r="D65" s="12">
        <v>97</v>
      </c>
      <c r="E65" s="6" t="s">
        <v>431</v>
      </c>
    </row>
    <row r="66" spans="1:5" x14ac:dyDescent="0.25">
      <c r="A66" s="6" t="s">
        <v>432</v>
      </c>
      <c r="B66" s="6" t="s">
        <v>341</v>
      </c>
      <c r="C66" s="6" t="s">
        <v>235</v>
      </c>
      <c r="D66" s="12">
        <v>85</v>
      </c>
      <c r="E66" s="6" t="s">
        <v>431</v>
      </c>
    </row>
    <row r="67" spans="1:5" x14ac:dyDescent="0.25">
      <c r="A67" s="6" t="s">
        <v>433</v>
      </c>
      <c r="B67" s="6" t="s">
        <v>343</v>
      </c>
      <c r="C67" s="6" t="s">
        <v>224</v>
      </c>
      <c r="D67" s="12">
        <v>82</v>
      </c>
      <c r="E67" s="6" t="s">
        <v>431</v>
      </c>
    </row>
    <row r="68" spans="1:5" x14ac:dyDescent="0.25">
      <c r="A68" s="6" t="s">
        <v>434</v>
      </c>
      <c r="B68" s="6" t="s">
        <v>345</v>
      </c>
      <c r="C68" s="6" t="s">
        <v>199</v>
      </c>
      <c r="D68" s="12">
        <v>51</v>
      </c>
      <c r="E68" s="6" t="s">
        <v>431</v>
      </c>
    </row>
    <row r="69" spans="1:5" x14ac:dyDescent="0.25">
      <c r="A69" s="6" t="s">
        <v>435</v>
      </c>
      <c r="B69" s="6" t="s">
        <v>345</v>
      </c>
      <c r="C69" s="6" t="s">
        <v>244</v>
      </c>
      <c r="D69" s="12">
        <v>43</v>
      </c>
      <c r="E69" s="6" t="s">
        <v>431</v>
      </c>
    </row>
    <row r="70" spans="1:5" x14ac:dyDescent="0.25">
      <c r="A70" s="6" t="s">
        <v>436</v>
      </c>
      <c r="B70" s="6" t="s">
        <v>347</v>
      </c>
      <c r="C70" s="6" t="s">
        <v>217</v>
      </c>
      <c r="D70" s="12">
        <v>74</v>
      </c>
      <c r="E70" s="6" t="s">
        <v>431</v>
      </c>
    </row>
    <row r="71" spans="1:5" x14ac:dyDescent="0.25">
      <c r="A71" s="6" t="s">
        <v>437</v>
      </c>
      <c r="B71" s="6" t="s">
        <v>349</v>
      </c>
      <c r="C71" s="6" t="s">
        <v>241</v>
      </c>
      <c r="D71" s="12">
        <v>78</v>
      </c>
      <c r="E71" s="6" t="s">
        <v>431</v>
      </c>
    </row>
    <row r="72" spans="1:5" x14ac:dyDescent="0.25">
      <c r="A72" s="6" t="s">
        <v>438</v>
      </c>
      <c r="B72" s="6" t="s">
        <v>351</v>
      </c>
      <c r="C72" s="6" t="s">
        <v>207</v>
      </c>
      <c r="D72" s="12">
        <v>48</v>
      </c>
      <c r="E72" s="6" t="s">
        <v>431</v>
      </c>
    </row>
    <row r="73" spans="1:5" x14ac:dyDescent="0.25">
      <c r="A73" s="6" t="s">
        <v>439</v>
      </c>
      <c r="B73" s="6" t="s">
        <v>351</v>
      </c>
      <c r="C73" s="6" t="s">
        <v>231</v>
      </c>
      <c r="D73" s="12">
        <v>47</v>
      </c>
      <c r="E73" s="6" t="s">
        <v>431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00CC-58FD-4DF2-BEC7-4580884271AB}">
  <dimension ref="A1:K563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4" style="6" customWidth="1"/>
    <col min="2" max="2" width="10.6328125" style="6" customWidth="1"/>
    <col min="3" max="3" width="34.08984375" style="6" bestFit="1" customWidth="1"/>
    <col min="4" max="4" width="13.36328125" style="6" bestFit="1" customWidth="1"/>
    <col min="5" max="5" width="19.453125" style="6" customWidth="1"/>
    <col min="6" max="6" width="10.1796875" style="6" customWidth="1"/>
    <col min="7" max="8" width="11.6328125" style="6" bestFit="1" customWidth="1"/>
    <col min="9" max="9" width="17.81640625" style="6" bestFit="1" customWidth="1"/>
    <col min="10" max="10" width="11.6328125" style="6" customWidth="1"/>
    <col min="11" max="11" width="14.6328125" style="6" customWidth="1"/>
    <col min="12" max="16384" width="8.7265625" style="6"/>
  </cols>
  <sheetData>
    <row r="1" spans="1:11" ht="18" customHeight="1" x14ac:dyDescent="0.3">
      <c r="A1" s="10" t="s">
        <v>440</v>
      </c>
      <c r="B1" s="10" t="s">
        <v>105</v>
      </c>
      <c r="C1" s="10" t="s">
        <v>441</v>
      </c>
      <c r="D1" s="10" t="s">
        <v>264</v>
      </c>
      <c r="E1" s="10" t="s">
        <v>442</v>
      </c>
      <c r="F1" s="10" t="s">
        <v>443</v>
      </c>
      <c r="G1" s="10" t="s">
        <v>444</v>
      </c>
      <c r="H1" s="10" t="s">
        <v>445</v>
      </c>
      <c r="I1" s="10" t="s">
        <v>89</v>
      </c>
      <c r="J1" s="10" t="s">
        <v>446</v>
      </c>
      <c r="K1" s="10" t="s">
        <v>447</v>
      </c>
    </row>
    <row r="2" spans="1:11" x14ac:dyDescent="0.25">
      <c r="A2" s="6" t="s">
        <v>448</v>
      </c>
      <c r="B2" s="6" t="s">
        <v>133</v>
      </c>
      <c r="C2" s="6" t="s">
        <v>449</v>
      </c>
      <c r="D2" s="6" t="s">
        <v>51</v>
      </c>
      <c r="E2" s="6" t="s">
        <v>276</v>
      </c>
      <c r="F2" s="6">
        <v>1</v>
      </c>
      <c r="G2" s="11">
        <v>46064.000009837961</v>
      </c>
      <c r="H2" s="11">
        <v>46082.000009837961</v>
      </c>
      <c r="I2" s="6" t="s">
        <v>94</v>
      </c>
      <c r="J2" s="6" t="b">
        <f>IF(AND(H2&lt;Config!$B$2,I2&lt;&gt;"Approved / IFI"),TRUE,FALSE)</f>
        <v>0</v>
      </c>
      <c r="K2" s="6" t="str">
        <f t="shared" ref="K2:K65" si="0">IF(J2=TRUE,"Overdue",IF(I2="Approved / IFI","Complete",IF(I2="Internal Development","In Progress",IF(I2="Revise &amp; Resubmit","Revise","In Review"))))</f>
        <v>Complete</v>
      </c>
    </row>
    <row r="3" spans="1:11" x14ac:dyDescent="0.25">
      <c r="A3" s="6" t="s">
        <v>450</v>
      </c>
      <c r="B3" s="6" t="s">
        <v>133</v>
      </c>
      <c r="C3" s="6" t="s">
        <v>451</v>
      </c>
      <c r="D3" s="6" t="s">
        <v>51</v>
      </c>
      <c r="E3" s="6" t="s">
        <v>292</v>
      </c>
      <c r="F3" s="6">
        <v>2</v>
      </c>
      <c r="G3" s="11">
        <v>46080.000009837961</v>
      </c>
      <c r="H3" s="11">
        <v>46116.000009837961</v>
      </c>
      <c r="I3" s="6" t="s">
        <v>94</v>
      </c>
      <c r="J3" s="6" t="b">
        <f>IF(AND(H3&lt;Config!$B$2,I3&lt;&gt;"Approved / IFI"),TRUE,FALSE)</f>
        <v>0</v>
      </c>
      <c r="K3" s="6" t="str">
        <f t="shared" si="0"/>
        <v>Complete</v>
      </c>
    </row>
    <row r="4" spans="1:11" x14ac:dyDescent="0.25">
      <c r="A4" s="6" t="s">
        <v>452</v>
      </c>
      <c r="B4" s="6" t="s">
        <v>133</v>
      </c>
      <c r="C4" s="6" t="s">
        <v>453</v>
      </c>
      <c r="D4" s="6" t="s">
        <v>52</v>
      </c>
      <c r="E4" s="6" t="s">
        <v>183</v>
      </c>
      <c r="F4" s="6">
        <v>3</v>
      </c>
      <c r="G4" s="11">
        <v>46121.000009837961</v>
      </c>
      <c r="H4" s="11">
        <v>46140.000009837961</v>
      </c>
      <c r="I4" s="6" t="s">
        <v>94</v>
      </c>
      <c r="J4" s="6" t="b">
        <f>IF(AND(H4&lt;Config!$B$2,I4&lt;&gt;"Approved / IFI"),TRUE,FALSE)</f>
        <v>0</v>
      </c>
      <c r="K4" s="6" t="str">
        <f t="shared" si="0"/>
        <v>Complete</v>
      </c>
    </row>
    <row r="5" spans="1:11" x14ac:dyDescent="0.25">
      <c r="A5" s="6" t="s">
        <v>454</v>
      </c>
      <c r="B5" s="6" t="s">
        <v>133</v>
      </c>
      <c r="C5" s="6" t="s">
        <v>455</v>
      </c>
      <c r="D5" s="6" t="s">
        <v>53</v>
      </c>
      <c r="E5" s="6" t="s">
        <v>289</v>
      </c>
      <c r="F5" s="6">
        <v>1</v>
      </c>
      <c r="G5" s="11">
        <v>46085.000009837961</v>
      </c>
      <c r="H5" s="11">
        <v>46108.000009837961</v>
      </c>
      <c r="I5" s="6" t="s">
        <v>94</v>
      </c>
      <c r="J5" s="6" t="b">
        <f>IF(AND(H5&lt;Config!$B$2,I5&lt;&gt;"Approved / IFI"),TRUE,FALSE)</f>
        <v>0</v>
      </c>
      <c r="K5" s="6" t="str">
        <f t="shared" si="0"/>
        <v>Complete</v>
      </c>
    </row>
    <row r="6" spans="1:11" x14ac:dyDescent="0.25">
      <c r="A6" s="6" t="s">
        <v>456</v>
      </c>
      <c r="B6" s="6" t="s">
        <v>133</v>
      </c>
      <c r="C6" s="6" t="s">
        <v>457</v>
      </c>
      <c r="D6" s="6" t="s">
        <v>52</v>
      </c>
      <c r="E6" s="6" t="s">
        <v>304</v>
      </c>
      <c r="F6" s="6">
        <v>3</v>
      </c>
      <c r="G6" s="11">
        <v>46071.000009837961</v>
      </c>
      <c r="H6" s="11">
        <v>46086.000009837961</v>
      </c>
      <c r="I6" s="6" t="s">
        <v>94</v>
      </c>
      <c r="J6" s="6" t="b">
        <f>IF(AND(H6&lt;Config!$B$2,I6&lt;&gt;"Approved / IFI"),TRUE,FALSE)</f>
        <v>0</v>
      </c>
      <c r="K6" s="6" t="str">
        <f t="shared" si="0"/>
        <v>Complete</v>
      </c>
    </row>
    <row r="7" spans="1:11" x14ac:dyDescent="0.25">
      <c r="A7" s="6" t="s">
        <v>458</v>
      </c>
      <c r="B7" s="6" t="s">
        <v>133</v>
      </c>
      <c r="C7" s="6" t="s">
        <v>459</v>
      </c>
      <c r="D7" s="6" t="s">
        <v>51</v>
      </c>
      <c r="E7" s="6" t="s">
        <v>276</v>
      </c>
      <c r="F7" s="6">
        <v>3</v>
      </c>
      <c r="G7" s="11">
        <v>46166.000009837961</v>
      </c>
      <c r="H7" s="11">
        <v>46189.000009837961</v>
      </c>
      <c r="I7" s="6" t="s">
        <v>94</v>
      </c>
      <c r="J7" s="6" t="b">
        <f>IF(AND(H7&lt;Config!$B$2,I7&lt;&gt;"Approved / IFI"),TRUE,FALSE)</f>
        <v>0</v>
      </c>
      <c r="K7" s="6" t="str">
        <f t="shared" si="0"/>
        <v>Complete</v>
      </c>
    </row>
    <row r="8" spans="1:11" x14ac:dyDescent="0.25">
      <c r="A8" s="6" t="s">
        <v>460</v>
      </c>
      <c r="B8" s="6" t="s">
        <v>133</v>
      </c>
      <c r="C8" s="6" t="s">
        <v>461</v>
      </c>
      <c r="D8" s="6" t="s">
        <v>56</v>
      </c>
      <c r="E8" s="6" t="s">
        <v>319</v>
      </c>
      <c r="F8" s="6">
        <v>4</v>
      </c>
      <c r="G8" s="11">
        <v>46068.000009837961</v>
      </c>
      <c r="H8" s="11">
        <v>46083.000009837961</v>
      </c>
      <c r="I8" s="6" t="s">
        <v>94</v>
      </c>
      <c r="J8" s="6" t="b">
        <f>IF(AND(H8&lt;Config!$B$2,I8&lt;&gt;"Approved / IFI"),TRUE,FALSE)</f>
        <v>0</v>
      </c>
      <c r="K8" s="6" t="str">
        <f t="shared" si="0"/>
        <v>Complete</v>
      </c>
    </row>
    <row r="9" spans="1:11" x14ac:dyDescent="0.25">
      <c r="A9" s="6" t="s">
        <v>462</v>
      </c>
      <c r="B9" s="6" t="s">
        <v>133</v>
      </c>
      <c r="C9" s="6" t="s">
        <v>463</v>
      </c>
      <c r="D9" s="6" t="s">
        <v>54</v>
      </c>
      <c r="E9" s="6" t="s">
        <v>201</v>
      </c>
      <c r="F9" s="6">
        <v>4</v>
      </c>
      <c r="G9" s="11">
        <v>46147.000009837961</v>
      </c>
      <c r="H9" s="11">
        <v>46186.000009837961</v>
      </c>
      <c r="I9" s="6" t="s">
        <v>94</v>
      </c>
      <c r="J9" s="6" t="b">
        <f>IF(AND(H9&lt;Config!$B$2,I9&lt;&gt;"Approved / IFI"),TRUE,FALSE)</f>
        <v>0</v>
      </c>
      <c r="K9" s="6" t="str">
        <f t="shared" si="0"/>
        <v>Complete</v>
      </c>
    </row>
    <row r="10" spans="1:11" x14ac:dyDescent="0.25">
      <c r="A10" s="6" t="s">
        <v>464</v>
      </c>
      <c r="B10" s="6" t="s">
        <v>133</v>
      </c>
      <c r="C10" s="6" t="s">
        <v>465</v>
      </c>
      <c r="D10" s="6" t="s">
        <v>52</v>
      </c>
      <c r="E10" s="6" t="s">
        <v>304</v>
      </c>
      <c r="F10" s="6">
        <v>4</v>
      </c>
      <c r="G10" s="11">
        <v>46169.000009837961</v>
      </c>
      <c r="H10" s="11">
        <v>46200.000009837961</v>
      </c>
      <c r="I10" s="6" t="s">
        <v>94</v>
      </c>
      <c r="J10" s="6" t="b">
        <f>IF(AND(H10&lt;Config!$B$2,I10&lt;&gt;"Approved / IFI"),TRUE,FALSE)</f>
        <v>0</v>
      </c>
      <c r="K10" s="6" t="str">
        <f t="shared" si="0"/>
        <v>Complete</v>
      </c>
    </row>
    <row r="11" spans="1:11" x14ac:dyDescent="0.25">
      <c r="A11" s="6" t="s">
        <v>466</v>
      </c>
      <c r="B11" s="6" t="s">
        <v>133</v>
      </c>
      <c r="C11" s="6" t="s">
        <v>467</v>
      </c>
      <c r="D11" s="6" t="s">
        <v>53</v>
      </c>
      <c r="E11" s="6" t="s">
        <v>156</v>
      </c>
      <c r="F11" s="6">
        <v>1</v>
      </c>
      <c r="G11" s="11">
        <v>46197.000009837961</v>
      </c>
      <c r="H11" s="11">
        <v>46226.000009837961</v>
      </c>
      <c r="I11" s="6" t="s">
        <v>94</v>
      </c>
      <c r="J11" s="6" t="b">
        <f>IF(AND(H11&lt;Config!$B$2,I11&lt;&gt;"Approved / IFI"),TRUE,FALSE)</f>
        <v>0</v>
      </c>
      <c r="K11" s="6" t="str">
        <f t="shared" si="0"/>
        <v>Complete</v>
      </c>
    </row>
    <row r="12" spans="1:11" x14ac:dyDescent="0.25">
      <c r="A12" s="6" t="s">
        <v>468</v>
      </c>
      <c r="B12" s="6" t="s">
        <v>133</v>
      </c>
      <c r="C12" s="6" t="s">
        <v>469</v>
      </c>
      <c r="D12" s="6" t="s">
        <v>53</v>
      </c>
      <c r="E12" s="6" t="s">
        <v>287</v>
      </c>
      <c r="F12" s="6">
        <v>1</v>
      </c>
      <c r="G12" s="11">
        <v>46188.000009837961</v>
      </c>
      <c r="H12" s="11">
        <v>46212.000009837961</v>
      </c>
      <c r="I12" s="6" t="s">
        <v>94</v>
      </c>
      <c r="J12" s="6" t="b">
        <f>IF(AND(H12&lt;Config!$B$2,I12&lt;&gt;"Approved / IFI"),TRUE,FALSE)</f>
        <v>0</v>
      </c>
      <c r="K12" s="6" t="str">
        <f t="shared" si="0"/>
        <v>Complete</v>
      </c>
    </row>
    <row r="13" spans="1:11" x14ac:dyDescent="0.25">
      <c r="A13" s="6" t="s">
        <v>470</v>
      </c>
      <c r="B13" s="6" t="s">
        <v>133</v>
      </c>
      <c r="C13" s="6" t="s">
        <v>471</v>
      </c>
      <c r="D13" s="6" t="s">
        <v>51</v>
      </c>
      <c r="E13" s="6" t="s">
        <v>276</v>
      </c>
      <c r="F13" s="6">
        <v>0</v>
      </c>
      <c r="G13" s="11">
        <v>46124.000009837961</v>
      </c>
      <c r="H13" s="11">
        <v>46159.000009837961</v>
      </c>
      <c r="I13" s="6" t="s">
        <v>94</v>
      </c>
      <c r="J13" s="6" t="b">
        <f>IF(AND(H13&lt;Config!$B$2,I13&lt;&gt;"Approved / IFI"),TRUE,FALSE)</f>
        <v>0</v>
      </c>
      <c r="K13" s="6" t="str">
        <f t="shared" si="0"/>
        <v>Complete</v>
      </c>
    </row>
    <row r="14" spans="1:11" x14ac:dyDescent="0.25">
      <c r="A14" s="6" t="s">
        <v>472</v>
      </c>
      <c r="B14" s="6" t="s">
        <v>133</v>
      </c>
      <c r="C14" s="6" t="s">
        <v>473</v>
      </c>
      <c r="D14" s="6" t="s">
        <v>53</v>
      </c>
      <c r="E14" s="6" t="s">
        <v>287</v>
      </c>
      <c r="F14" s="6">
        <v>4</v>
      </c>
      <c r="G14" s="11">
        <v>46166.000009837961</v>
      </c>
      <c r="H14" s="11">
        <v>46182.000009837961</v>
      </c>
      <c r="I14" s="6" t="s">
        <v>94</v>
      </c>
      <c r="J14" s="6" t="b">
        <f>IF(AND(H14&lt;Config!$B$2,I14&lt;&gt;"Approved / IFI"),TRUE,FALSE)</f>
        <v>0</v>
      </c>
      <c r="K14" s="6" t="str">
        <f t="shared" si="0"/>
        <v>Complete</v>
      </c>
    </row>
    <row r="15" spans="1:11" x14ac:dyDescent="0.25">
      <c r="A15" s="6" t="s">
        <v>474</v>
      </c>
      <c r="B15" s="6" t="s">
        <v>133</v>
      </c>
      <c r="C15" s="6" t="s">
        <v>475</v>
      </c>
      <c r="D15" s="6" t="s">
        <v>52</v>
      </c>
      <c r="E15" s="6" t="s">
        <v>304</v>
      </c>
      <c r="F15" s="6">
        <v>3</v>
      </c>
      <c r="G15" s="11">
        <v>46164.000009837961</v>
      </c>
      <c r="H15" s="11">
        <v>46187.000009837961</v>
      </c>
      <c r="I15" s="6" t="s">
        <v>94</v>
      </c>
      <c r="J15" s="6" t="b">
        <f>IF(AND(H15&lt;Config!$B$2,I15&lt;&gt;"Approved / IFI"),TRUE,FALSE)</f>
        <v>0</v>
      </c>
      <c r="K15" s="6" t="str">
        <f t="shared" si="0"/>
        <v>Complete</v>
      </c>
    </row>
    <row r="16" spans="1:11" x14ac:dyDescent="0.25">
      <c r="A16" s="6" t="s">
        <v>476</v>
      </c>
      <c r="B16" s="6" t="s">
        <v>133</v>
      </c>
      <c r="C16" s="6" t="s">
        <v>455</v>
      </c>
      <c r="D16" s="6" t="s">
        <v>53</v>
      </c>
      <c r="E16" s="6" t="s">
        <v>289</v>
      </c>
      <c r="F16" s="6">
        <v>3</v>
      </c>
      <c r="G16" s="11">
        <v>46035.000009837961</v>
      </c>
      <c r="H16" s="11">
        <v>46059.000009837961</v>
      </c>
      <c r="I16" s="6" t="s">
        <v>94</v>
      </c>
      <c r="J16" s="6" t="b">
        <f>IF(AND(H16&lt;Config!$B$2,I16&lt;&gt;"Approved / IFI"),TRUE,FALSE)</f>
        <v>0</v>
      </c>
      <c r="K16" s="6" t="str">
        <f t="shared" si="0"/>
        <v>Complete</v>
      </c>
    </row>
    <row r="17" spans="1:11" x14ac:dyDescent="0.25">
      <c r="A17" s="6" t="s">
        <v>477</v>
      </c>
      <c r="B17" s="6" t="s">
        <v>133</v>
      </c>
      <c r="C17" s="6" t="s">
        <v>478</v>
      </c>
      <c r="D17" s="6" t="s">
        <v>50</v>
      </c>
      <c r="E17" s="6" t="s">
        <v>137</v>
      </c>
      <c r="F17" s="6">
        <v>0</v>
      </c>
      <c r="G17" s="11">
        <v>46209.000009837961</v>
      </c>
      <c r="H17" s="11">
        <v>46242.000009837961</v>
      </c>
      <c r="I17" s="6" t="s">
        <v>94</v>
      </c>
      <c r="J17" s="6" t="b">
        <f>IF(AND(H17&lt;Config!$B$2,I17&lt;&gt;"Approved / IFI"),TRUE,FALSE)</f>
        <v>0</v>
      </c>
      <c r="K17" s="6" t="str">
        <f t="shared" si="0"/>
        <v>Complete</v>
      </c>
    </row>
    <row r="18" spans="1:11" x14ac:dyDescent="0.25">
      <c r="A18" s="6" t="s">
        <v>479</v>
      </c>
      <c r="B18" s="6" t="s">
        <v>133</v>
      </c>
      <c r="C18" s="6" t="s">
        <v>480</v>
      </c>
      <c r="D18" s="6" t="s">
        <v>56</v>
      </c>
      <c r="E18" s="6" t="s">
        <v>319</v>
      </c>
      <c r="F18" s="6">
        <v>4</v>
      </c>
      <c r="G18" s="11">
        <v>46078.000009837961</v>
      </c>
      <c r="H18" s="11">
        <v>46106.000009837961</v>
      </c>
      <c r="I18" s="6" t="s">
        <v>94</v>
      </c>
      <c r="J18" s="6" t="b">
        <f>IF(AND(H18&lt;Config!$B$2,I18&lt;&gt;"Approved / IFI"),TRUE,FALSE)</f>
        <v>0</v>
      </c>
      <c r="K18" s="6" t="str">
        <f t="shared" si="0"/>
        <v>Complete</v>
      </c>
    </row>
    <row r="19" spans="1:11" x14ac:dyDescent="0.25">
      <c r="A19" s="6" t="s">
        <v>481</v>
      </c>
      <c r="B19" s="6" t="s">
        <v>133</v>
      </c>
      <c r="C19" s="6" t="s">
        <v>482</v>
      </c>
      <c r="D19" s="6" t="s">
        <v>50</v>
      </c>
      <c r="E19" s="6" t="s">
        <v>137</v>
      </c>
      <c r="F19" s="6">
        <v>4</v>
      </c>
      <c r="G19" s="11">
        <v>46207.000009837961</v>
      </c>
      <c r="H19" s="11">
        <v>46225.000009837961</v>
      </c>
      <c r="I19" s="6" t="s">
        <v>94</v>
      </c>
      <c r="J19" s="6" t="b">
        <f>IF(AND(H19&lt;Config!$B$2,I19&lt;&gt;"Approved / IFI"),TRUE,FALSE)</f>
        <v>0</v>
      </c>
      <c r="K19" s="6" t="str">
        <f t="shared" si="0"/>
        <v>Complete</v>
      </c>
    </row>
    <row r="20" spans="1:11" x14ac:dyDescent="0.25">
      <c r="A20" s="6" t="s">
        <v>483</v>
      </c>
      <c r="B20" s="6" t="s">
        <v>133</v>
      </c>
      <c r="C20" s="6" t="s">
        <v>484</v>
      </c>
      <c r="D20" s="6" t="s">
        <v>52</v>
      </c>
      <c r="E20" s="6" t="s">
        <v>279</v>
      </c>
      <c r="F20" s="6">
        <v>0</v>
      </c>
      <c r="G20" s="11">
        <v>46205.000009837961</v>
      </c>
      <c r="H20" s="11">
        <v>46231.000009837961</v>
      </c>
      <c r="I20" s="6" t="s">
        <v>91</v>
      </c>
      <c r="J20" s="6" t="b">
        <f>IF(AND(H20&lt;Config!$B$2,I20&lt;&gt;"Approved / IFI"),TRUE,FALSE)</f>
        <v>1</v>
      </c>
      <c r="K20" s="6" t="str">
        <f t="shared" si="0"/>
        <v>Overdue</v>
      </c>
    </row>
    <row r="21" spans="1:11" x14ac:dyDescent="0.25">
      <c r="A21" s="6" t="s">
        <v>485</v>
      </c>
      <c r="B21" s="6" t="s">
        <v>133</v>
      </c>
      <c r="C21" s="6" t="s">
        <v>486</v>
      </c>
      <c r="D21" s="6" t="s">
        <v>53</v>
      </c>
      <c r="E21" s="6" t="s">
        <v>289</v>
      </c>
      <c r="F21" s="6">
        <v>4</v>
      </c>
      <c r="G21" s="11">
        <v>46283.000009837961</v>
      </c>
      <c r="H21" s="11">
        <v>46317.000009837961</v>
      </c>
      <c r="I21" s="6" t="s">
        <v>93</v>
      </c>
      <c r="J21" s="6" t="b">
        <f>IF(AND(H21&lt;Config!$B$2,I21&lt;&gt;"Approved / IFI"),TRUE,FALSE)</f>
        <v>0</v>
      </c>
      <c r="K21" s="6" t="str">
        <f t="shared" si="0"/>
        <v>Revise</v>
      </c>
    </row>
    <row r="22" spans="1:11" x14ac:dyDescent="0.25">
      <c r="A22" s="6" t="s">
        <v>487</v>
      </c>
      <c r="B22" s="6" t="s">
        <v>133</v>
      </c>
      <c r="C22" s="6" t="s">
        <v>488</v>
      </c>
      <c r="D22" s="6" t="s">
        <v>53</v>
      </c>
      <c r="E22" s="6" t="s">
        <v>168</v>
      </c>
      <c r="F22" s="6">
        <v>2</v>
      </c>
      <c r="G22" s="11">
        <v>46225.000009837961</v>
      </c>
      <c r="H22" s="11">
        <v>46260.000009837961</v>
      </c>
      <c r="I22" s="6" t="s">
        <v>93</v>
      </c>
      <c r="J22" s="6" t="b">
        <f>IF(AND(H22&lt;Config!$B$2,I22&lt;&gt;"Approved / IFI"),TRUE,FALSE)</f>
        <v>0</v>
      </c>
      <c r="K22" s="6" t="str">
        <f t="shared" si="0"/>
        <v>Revise</v>
      </c>
    </row>
    <row r="23" spans="1:11" x14ac:dyDescent="0.25">
      <c r="A23" s="6" t="s">
        <v>489</v>
      </c>
      <c r="B23" s="6" t="s">
        <v>133</v>
      </c>
      <c r="C23" s="6" t="s">
        <v>490</v>
      </c>
      <c r="D23" s="6" t="s">
        <v>52</v>
      </c>
      <c r="E23" s="6" t="s">
        <v>183</v>
      </c>
      <c r="F23" s="6">
        <v>0</v>
      </c>
      <c r="G23" s="11">
        <v>46265.000009837961</v>
      </c>
      <c r="H23" s="11">
        <v>46282.000009837961</v>
      </c>
      <c r="I23" s="6" t="s">
        <v>90</v>
      </c>
      <c r="J23" s="6" t="b">
        <f>IF(AND(H23&lt;Config!$B$2,I23&lt;&gt;"Approved / IFI"),TRUE,FALSE)</f>
        <v>0</v>
      </c>
      <c r="K23" s="6" t="str">
        <f t="shared" si="0"/>
        <v>In Progress</v>
      </c>
    </row>
    <row r="24" spans="1:11" x14ac:dyDescent="0.25">
      <c r="A24" s="6" t="s">
        <v>491</v>
      </c>
      <c r="B24" s="6" t="s">
        <v>140</v>
      </c>
      <c r="C24" s="6" t="s">
        <v>473</v>
      </c>
      <c r="D24" s="6" t="s">
        <v>53</v>
      </c>
      <c r="E24" s="6" t="s">
        <v>287</v>
      </c>
      <c r="F24" s="6">
        <v>3</v>
      </c>
      <c r="G24" s="11">
        <v>46073.000009837961</v>
      </c>
      <c r="H24" s="11">
        <v>46107.000009837961</v>
      </c>
      <c r="I24" s="6" t="s">
        <v>94</v>
      </c>
      <c r="J24" s="6" t="b">
        <f>IF(AND(H24&lt;Config!$B$2,I24&lt;&gt;"Approved / IFI"),TRUE,FALSE)</f>
        <v>0</v>
      </c>
      <c r="K24" s="6" t="str">
        <f t="shared" si="0"/>
        <v>Complete</v>
      </c>
    </row>
    <row r="25" spans="1:11" x14ac:dyDescent="0.25">
      <c r="A25" s="6" t="s">
        <v>492</v>
      </c>
      <c r="B25" s="6" t="s">
        <v>140</v>
      </c>
      <c r="C25" s="6" t="s">
        <v>493</v>
      </c>
      <c r="D25" s="6" t="s">
        <v>54</v>
      </c>
      <c r="E25" s="6" t="s">
        <v>284</v>
      </c>
      <c r="F25" s="6">
        <v>4</v>
      </c>
      <c r="G25" s="11">
        <v>46173.000009837961</v>
      </c>
      <c r="H25" s="11">
        <v>46193.000009837961</v>
      </c>
      <c r="I25" s="6" t="s">
        <v>94</v>
      </c>
      <c r="J25" s="6" t="b">
        <f>IF(AND(H25&lt;Config!$B$2,I25&lt;&gt;"Approved / IFI"),TRUE,FALSE)</f>
        <v>0</v>
      </c>
      <c r="K25" s="6" t="str">
        <f t="shared" si="0"/>
        <v>Complete</v>
      </c>
    </row>
    <row r="26" spans="1:11" x14ac:dyDescent="0.25">
      <c r="A26" s="6" t="s">
        <v>494</v>
      </c>
      <c r="B26" s="6" t="s">
        <v>140</v>
      </c>
      <c r="C26" s="6" t="s">
        <v>453</v>
      </c>
      <c r="D26" s="6" t="s">
        <v>52</v>
      </c>
      <c r="E26" s="6" t="s">
        <v>304</v>
      </c>
      <c r="F26" s="6">
        <v>3</v>
      </c>
      <c r="G26" s="11">
        <v>46091.000009837961</v>
      </c>
      <c r="H26" s="11">
        <v>46120.000009837961</v>
      </c>
      <c r="I26" s="6" t="s">
        <v>94</v>
      </c>
      <c r="J26" s="6" t="b">
        <f>IF(AND(H26&lt;Config!$B$2,I26&lt;&gt;"Approved / IFI"),TRUE,FALSE)</f>
        <v>0</v>
      </c>
      <c r="K26" s="6" t="str">
        <f t="shared" si="0"/>
        <v>Complete</v>
      </c>
    </row>
    <row r="27" spans="1:11" x14ac:dyDescent="0.25">
      <c r="A27" s="6" t="s">
        <v>495</v>
      </c>
      <c r="B27" s="6" t="s">
        <v>140</v>
      </c>
      <c r="C27" s="6" t="s">
        <v>496</v>
      </c>
      <c r="D27" s="6" t="s">
        <v>53</v>
      </c>
      <c r="E27" s="6" t="s">
        <v>156</v>
      </c>
      <c r="F27" s="6">
        <v>3</v>
      </c>
      <c r="G27" s="11">
        <v>46069.000009837961</v>
      </c>
      <c r="H27" s="11">
        <v>46101.000009837961</v>
      </c>
      <c r="I27" s="6" t="s">
        <v>94</v>
      </c>
      <c r="J27" s="6" t="b">
        <f>IF(AND(H27&lt;Config!$B$2,I27&lt;&gt;"Approved / IFI"),TRUE,FALSE)</f>
        <v>0</v>
      </c>
      <c r="K27" s="6" t="str">
        <f t="shared" si="0"/>
        <v>Complete</v>
      </c>
    </row>
    <row r="28" spans="1:11" x14ac:dyDescent="0.25">
      <c r="A28" s="6" t="s">
        <v>497</v>
      </c>
      <c r="B28" s="6" t="s">
        <v>140</v>
      </c>
      <c r="C28" s="6" t="s">
        <v>498</v>
      </c>
      <c r="D28" s="6" t="s">
        <v>52</v>
      </c>
      <c r="E28" s="6" t="s">
        <v>304</v>
      </c>
      <c r="F28" s="6">
        <v>3</v>
      </c>
      <c r="G28" s="11">
        <v>46188.000009837961</v>
      </c>
      <c r="H28" s="11">
        <v>46214.000009837961</v>
      </c>
      <c r="I28" s="6" t="s">
        <v>94</v>
      </c>
      <c r="J28" s="6" t="b">
        <f>IF(AND(H28&lt;Config!$B$2,I28&lt;&gt;"Approved / IFI"),TRUE,FALSE)</f>
        <v>0</v>
      </c>
      <c r="K28" s="6" t="str">
        <f t="shared" si="0"/>
        <v>Complete</v>
      </c>
    </row>
    <row r="29" spans="1:11" x14ac:dyDescent="0.25">
      <c r="A29" s="6" t="s">
        <v>499</v>
      </c>
      <c r="B29" s="6" t="s">
        <v>140</v>
      </c>
      <c r="C29" s="6" t="s">
        <v>500</v>
      </c>
      <c r="D29" s="6" t="s">
        <v>50</v>
      </c>
      <c r="E29" s="6" t="s">
        <v>156</v>
      </c>
      <c r="F29" s="6">
        <v>4</v>
      </c>
      <c r="G29" s="11">
        <v>46099.000009837961</v>
      </c>
      <c r="H29" s="11">
        <v>46110.000009837961</v>
      </c>
      <c r="I29" s="6" t="s">
        <v>94</v>
      </c>
      <c r="J29" s="6" t="b">
        <f>IF(AND(H29&lt;Config!$B$2,I29&lt;&gt;"Approved / IFI"),TRUE,FALSE)</f>
        <v>0</v>
      </c>
      <c r="K29" s="6" t="str">
        <f t="shared" si="0"/>
        <v>Complete</v>
      </c>
    </row>
    <row r="30" spans="1:11" x14ac:dyDescent="0.25">
      <c r="A30" s="6" t="s">
        <v>501</v>
      </c>
      <c r="B30" s="6" t="s">
        <v>140</v>
      </c>
      <c r="C30" s="6" t="s">
        <v>502</v>
      </c>
      <c r="D30" s="6" t="s">
        <v>50</v>
      </c>
      <c r="E30" s="6" t="s">
        <v>150</v>
      </c>
      <c r="F30" s="6">
        <v>1</v>
      </c>
      <c r="G30" s="11">
        <v>46039.000009837961</v>
      </c>
      <c r="H30" s="11">
        <v>46076.000009837961</v>
      </c>
      <c r="I30" s="6" t="s">
        <v>94</v>
      </c>
      <c r="J30" s="6" t="b">
        <f>IF(AND(H30&lt;Config!$B$2,I30&lt;&gt;"Approved / IFI"),TRUE,FALSE)</f>
        <v>0</v>
      </c>
      <c r="K30" s="6" t="str">
        <f t="shared" si="0"/>
        <v>Complete</v>
      </c>
    </row>
    <row r="31" spans="1:11" x14ac:dyDescent="0.25">
      <c r="A31" s="6" t="s">
        <v>503</v>
      </c>
      <c r="B31" s="6" t="s">
        <v>140</v>
      </c>
      <c r="C31" s="6" t="s">
        <v>504</v>
      </c>
      <c r="D31" s="6" t="s">
        <v>50</v>
      </c>
      <c r="E31" s="6" t="s">
        <v>300</v>
      </c>
      <c r="F31" s="6">
        <v>4</v>
      </c>
      <c r="G31" s="11">
        <v>46182.000009837961</v>
      </c>
      <c r="H31" s="11">
        <v>46205.000009837961</v>
      </c>
      <c r="I31" s="6" t="s">
        <v>94</v>
      </c>
      <c r="J31" s="6" t="b">
        <f>IF(AND(H31&lt;Config!$B$2,I31&lt;&gt;"Approved / IFI"),TRUE,FALSE)</f>
        <v>0</v>
      </c>
      <c r="K31" s="6" t="str">
        <f t="shared" si="0"/>
        <v>Complete</v>
      </c>
    </row>
    <row r="32" spans="1:11" x14ac:dyDescent="0.25">
      <c r="A32" s="6" t="s">
        <v>505</v>
      </c>
      <c r="B32" s="6" t="s">
        <v>140</v>
      </c>
      <c r="C32" s="6" t="s">
        <v>506</v>
      </c>
      <c r="D32" s="6" t="s">
        <v>50</v>
      </c>
      <c r="E32" s="6" t="s">
        <v>150</v>
      </c>
      <c r="F32" s="6">
        <v>3</v>
      </c>
      <c r="G32" s="11">
        <v>46163.000009837961</v>
      </c>
      <c r="H32" s="11">
        <v>46197.000009837961</v>
      </c>
      <c r="I32" s="6" t="s">
        <v>94</v>
      </c>
      <c r="J32" s="6" t="b">
        <f>IF(AND(H32&lt;Config!$B$2,I32&lt;&gt;"Approved / IFI"),TRUE,FALSE)</f>
        <v>0</v>
      </c>
      <c r="K32" s="6" t="str">
        <f t="shared" si="0"/>
        <v>Complete</v>
      </c>
    </row>
    <row r="33" spans="1:11" x14ac:dyDescent="0.25">
      <c r="A33" s="6" t="s">
        <v>507</v>
      </c>
      <c r="B33" s="6" t="s">
        <v>140</v>
      </c>
      <c r="C33" s="6" t="s">
        <v>508</v>
      </c>
      <c r="D33" s="6" t="s">
        <v>53</v>
      </c>
      <c r="E33" s="6" t="s">
        <v>168</v>
      </c>
      <c r="F33" s="6">
        <v>2</v>
      </c>
      <c r="G33" s="11">
        <v>46124.000009837961</v>
      </c>
      <c r="H33" s="11">
        <v>46158.000009837961</v>
      </c>
      <c r="I33" s="6" t="s">
        <v>94</v>
      </c>
      <c r="J33" s="6" t="b">
        <f>IF(AND(H33&lt;Config!$B$2,I33&lt;&gt;"Approved / IFI"),TRUE,FALSE)</f>
        <v>0</v>
      </c>
      <c r="K33" s="6" t="str">
        <f t="shared" si="0"/>
        <v>Complete</v>
      </c>
    </row>
    <row r="34" spans="1:11" x14ac:dyDescent="0.25">
      <c r="A34" s="6" t="s">
        <v>509</v>
      </c>
      <c r="B34" s="6" t="s">
        <v>140</v>
      </c>
      <c r="C34" s="6" t="s">
        <v>457</v>
      </c>
      <c r="D34" s="6" t="s">
        <v>52</v>
      </c>
      <c r="E34" s="6" t="s">
        <v>304</v>
      </c>
      <c r="F34" s="6">
        <v>1</v>
      </c>
      <c r="G34" s="11">
        <v>46050.000009837961</v>
      </c>
      <c r="H34" s="11">
        <v>46068.000009837961</v>
      </c>
      <c r="I34" s="6" t="s">
        <v>94</v>
      </c>
      <c r="J34" s="6" t="b">
        <f>IF(AND(H34&lt;Config!$B$2,I34&lt;&gt;"Approved / IFI"),TRUE,FALSE)</f>
        <v>0</v>
      </c>
      <c r="K34" s="6" t="str">
        <f t="shared" si="0"/>
        <v>Complete</v>
      </c>
    </row>
    <row r="35" spans="1:11" x14ac:dyDescent="0.25">
      <c r="A35" s="6" t="s">
        <v>510</v>
      </c>
      <c r="B35" s="6" t="s">
        <v>140</v>
      </c>
      <c r="C35" s="6" t="s">
        <v>511</v>
      </c>
      <c r="D35" s="6" t="s">
        <v>54</v>
      </c>
      <c r="E35" s="6" t="s">
        <v>284</v>
      </c>
      <c r="F35" s="6">
        <v>0</v>
      </c>
      <c r="G35" s="11">
        <v>46088.000009837961</v>
      </c>
      <c r="H35" s="11">
        <v>46124.000009837961</v>
      </c>
      <c r="I35" s="6" t="s">
        <v>94</v>
      </c>
      <c r="J35" s="6" t="b">
        <f>IF(AND(H35&lt;Config!$B$2,I35&lt;&gt;"Approved / IFI"),TRUE,FALSE)</f>
        <v>0</v>
      </c>
      <c r="K35" s="6" t="str">
        <f t="shared" si="0"/>
        <v>Complete</v>
      </c>
    </row>
    <row r="36" spans="1:11" x14ac:dyDescent="0.25">
      <c r="A36" s="6" t="s">
        <v>512</v>
      </c>
      <c r="B36" s="6" t="s">
        <v>140</v>
      </c>
      <c r="C36" s="6" t="s">
        <v>500</v>
      </c>
      <c r="D36" s="6" t="s">
        <v>50</v>
      </c>
      <c r="E36" s="6" t="s">
        <v>137</v>
      </c>
      <c r="F36" s="6">
        <v>3</v>
      </c>
      <c r="G36" s="11">
        <v>46200.000009837961</v>
      </c>
      <c r="H36" s="11">
        <v>46228.000009837961</v>
      </c>
      <c r="I36" s="6" t="s">
        <v>94</v>
      </c>
      <c r="J36" s="6" t="b">
        <f>IF(AND(H36&lt;Config!$B$2,I36&lt;&gt;"Approved / IFI"),TRUE,FALSE)</f>
        <v>0</v>
      </c>
      <c r="K36" s="6" t="str">
        <f t="shared" si="0"/>
        <v>Complete</v>
      </c>
    </row>
    <row r="37" spans="1:11" x14ac:dyDescent="0.25">
      <c r="A37" s="6" t="s">
        <v>513</v>
      </c>
      <c r="B37" s="6" t="s">
        <v>140</v>
      </c>
      <c r="C37" s="6" t="s">
        <v>449</v>
      </c>
      <c r="D37" s="6" t="s">
        <v>51</v>
      </c>
      <c r="E37" s="6" t="s">
        <v>294</v>
      </c>
      <c r="F37" s="6">
        <v>3</v>
      </c>
      <c r="G37" s="11">
        <v>46034.000009837961</v>
      </c>
      <c r="H37" s="11">
        <v>46057.000009837961</v>
      </c>
      <c r="I37" s="6" t="s">
        <v>94</v>
      </c>
      <c r="J37" s="6" t="b">
        <f>IF(AND(H37&lt;Config!$B$2,I37&lt;&gt;"Approved / IFI"),TRUE,FALSE)</f>
        <v>0</v>
      </c>
      <c r="K37" s="6" t="str">
        <f t="shared" si="0"/>
        <v>Complete</v>
      </c>
    </row>
    <row r="38" spans="1:11" x14ac:dyDescent="0.25">
      <c r="A38" s="6" t="s">
        <v>514</v>
      </c>
      <c r="B38" s="6" t="s">
        <v>140</v>
      </c>
      <c r="C38" s="6" t="s">
        <v>515</v>
      </c>
      <c r="D38" s="6" t="s">
        <v>53</v>
      </c>
      <c r="E38" s="6" t="s">
        <v>156</v>
      </c>
      <c r="F38" s="6">
        <v>1</v>
      </c>
      <c r="G38" s="11">
        <v>46251.000009837961</v>
      </c>
      <c r="H38" s="11">
        <v>46267.000009837961</v>
      </c>
      <c r="I38" s="6" t="s">
        <v>90</v>
      </c>
      <c r="J38" s="6" t="b">
        <f>IF(AND(H38&lt;Config!$B$2,I38&lt;&gt;"Approved / IFI"),TRUE,FALSE)</f>
        <v>0</v>
      </c>
      <c r="K38" s="6" t="str">
        <f t="shared" si="0"/>
        <v>In Progress</v>
      </c>
    </row>
    <row r="39" spans="1:11" x14ac:dyDescent="0.25">
      <c r="A39" s="6" t="s">
        <v>516</v>
      </c>
      <c r="B39" s="6" t="s">
        <v>140</v>
      </c>
      <c r="C39" s="6" t="s">
        <v>517</v>
      </c>
      <c r="D39" s="6" t="s">
        <v>51</v>
      </c>
      <c r="E39" s="6" t="s">
        <v>294</v>
      </c>
      <c r="F39" s="6">
        <v>1</v>
      </c>
      <c r="G39" s="11">
        <v>46279.000009837961</v>
      </c>
      <c r="H39" s="11">
        <v>46303.000009837961</v>
      </c>
      <c r="I39" s="6" t="s">
        <v>93</v>
      </c>
      <c r="J39" s="6" t="b">
        <f>IF(AND(H39&lt;Config!$B$2,I39&lt;&gt;"Approved / IFI"),TRUE,FALSE)</f>
        <v>0</v>
      </c>
      <c r="K39" s="6" t="str">
        <f t="shared" si="0"/>
        <v>Revise</v>
      </c>
    </row>
    <row r="40" spans="1:11" x14ac:dyDescent="0.25">
      <c r="A40" s="6" t="s">
        <v>518</v>
      </c>
      <c r="B40" s="6" t="s">
        <v>140</v>
      </c>
      <c r="C40" s="6" t="s">
        <v>519</v>
      </c>
      <c r="D40" s="6" t="s">
        <v>56</v>
      </c>
      <c r="E40" s="6" t="s">
        <v>319</v>
      </c>
      <c r="F40" s="6">
        <v>4</v>
      </c>
      <c r="G40" s="11">
        <v>46292.000009837961</v>
      </c>
      <c r="H40" s="11">
        <v>46323.000009837961</v>
      </c>
      <c r="I40" s="6" t="s">
        <v>90</v>
      </c>
      <c r="J40" s="6" t="b">
        <f>IF(AND(H40&lt;Config!$B$2,I40&lt;&gt;"Approved / IFI"),TRUE,FALSE)</f>
        <v>0</v>
      </c>
      <c r="K40" s="6" t="str">
        <f t="shared" si="0"/>
        <v>In Progress</v>
      </c>
    </row>
    <row r="41" spans="1:11" x14ac:dyDescent="0.25">
      <c r="A41" s="6" t="s">
        <v>520</v>
      </c>
      <c r="B41" s="6" t="s">
        <v>140</v>
      </c>
      <c r="C41" s="6" t="s">
        <v>521</v>
      </c>
      <c r="D41" s="6" t="s">
        <v>53</v>
      </c>
      <c r="E41" s="6" t="s">
        <v>287</v>
      </c>
      <c r="F41" s="6">
        <v>2</v>
      </c>
      <c r="G41" s="11">
        <v>46295.000009837961</v>
      </c>
      <c r="H41" s="11">
        <v>46313.000009837961</v>
      </c>
      <c r="I41" s="6" t="s">
        <v>93</v>
      </c>
      <c r="J41" s="6" t="b">
        <f>IF(AND(H41&lt;Config!$B$2,I41&lt;&gt;"Approved / IFI"),TRUE,FALSE)</f>
        <v>0</v>
      </c>
      <c r="K41" s="6" t="str">
        <f t="shared" si="0"/>
        <v>Revise</v>
      </c>
    </row>
    <row r="42" spans="1:11" x14ac:dyDescent="0.25">
      <c r="A42" s="6" t="s">
        <v>522</v>
      </c>
      <c r="B42" s="6" t="s">
        <v>140</v>
      </c>
      <c r="C42" s="6" t="s">
        <v>523</v>
      </c>
      <c r="D42" s="6" t="s">
        <v>52</v>
      </c>
      <c r="E42" s="6" t="s">
        <v>304</v>
      </c>
      <c r="F42" s="6">
        <v>0</v>
      </c>
      <c r="G42" s="11">
        <v>46285.000009837961</v>
      </c>
      <c r="H42" s="11">
        <v>46311.000009837961</v>
      </c>
      <c r="I42" s="6" t="s">
        <v>91</v>
      </c>
      <c r="J42" s="6" t="b">
        <f>IF(AND(H42&lt;Config!$B$2,I42&lt;&gt;"Approved / IFI"),TRUE,FALSE)</f>
        <v>0</v>
      </c>
      <c r="K42" s="6" t="str">
        <f t="shared" si="0"/>
        <v>In Review</v>
      </c>
    </row>
    <row r="43" spans="1:11" x14ac:dyDescent="0.25">
      <c r="A43" s="6" t="s">
        <v>524</v>
      </c>
      <c r="B43" s="6" t="s">
        <v>140</v>
      </c>
      <c r="C43" s="6" t="s">
        <v>525</v>
      </c>
      <c r="D43" s="6" t="s">
        <v>54</v>
      </c>
      <c r="E43" s="6" t="s">
        <v>284</v>
      </c>
      <c r="F43" s="6">
        <v>3</v>
      </c>
      <c r="G43" s="11">
        <v>46210.000009837961</v>
      </c>
      <c r="H43" s="11">
        <v>46239.000009837961</v>
      </c>
      <c r="I43" s="6" t="s">
        <v>90</v>
      </c>
      <c r="J43" s="6" t="b">
        <f>IF(AND(H43&lt;Config!$B$2,I43&lt;&gt;"Approved / IFI"),TRUE,FALSE)</f>
        <v>1</v>
      </c>
      <c r="K43" s="6" t="str">
        <f t="shared" si="0"/>
        <v>Overdue</v>
      </c>
    </row>
    <row r="44" spans="1:11" x14ac:dyDescent="0.25">
      <c r="A44" s="6" t="s">
        <v>526</v>
      </c>
      <c r="B44" s="6" t="s">
        <v>140</v>
      </c>
      <c r="C44" s="6" t="s">
        <v>527</v>
      </c>
      <c r="D44" s="6" t="s">
        <v>53</v>
      </c>
      <c r="E44" s="6" t="s">
        <v>287</v>
      </c>
      <c r="F44" s="6">
        <v>4</v>
      </c>
      <c r="G44" s="11">
        <v>46241.000009837961</v>
      </c>
      <c r="H44" s="11">
        <v>46257.000009837961</v>
      </c>
      <c r="I44" s="6" t="s">
        <v>93</v>
      </c>
      <c r="J44" s="6" t="b">
        <f>IF(AND(H44&lt;Config!$B$2,I44&lt;&gt;"Approved / IFI"),TRUE,FALSE)</f>
        <v>0</v>
      </c>
      <c r="K44" s="6" t="str">
        <f t="shared" si="0"/>
        <v>Revise</v>
      </c>
    </row>
    <row r="45" spans="1:11" x14ac:dyDescent="0.25">
      <c r="A45" s="6" t="s">
        <v>528</v>
      </c>
      <c r="B45" s="6" t="s">
        <v>140</v>
      </c>
      <c r="C45" s="6" t="s">
        <v>529</v>
      </c>
      <c r="D45" s="6" t="s">
        <v>51</v>
      </c>
      <c r="E45" s="6" t="s">
        <v>294</v>
      </c>
      <c r="F45" s="6">
        <v>2</v>
      </c>
      <c r="G45" s="11">
        <v>46293.000009837961</v>
      </c>
      <c r="H45" s="11">
        <v>46309.000009837961</v>
      </c>
      <c r="I45" s="6" t="s">
        <v>91</v>
      </c>
      <c r="J45" s="6" t="b">
        <f>IF(AND(H45&lt;Config!$B$2,I45&lt;&gt;"Approved / IFI"),TRUE,FALSE)</f>
        <v>0</v>
      </c>
      <c r="K45" s="6" t="str">
        <f t="shared" si="0"/>
        <v>In Review</v>
      </c>
    </row>
    <row r="46" spans="1:11" x14ac:dyDescent="0.25">
      <c r="A46" s="6" t="s">
        <v>530</v>
      </c>
      <c r="B46" s="6" t="s">
        <v>146</v>
      </c>
      <c r="C46" s="6" t="s">
        <v>531</v>
      </c>
      <c r="D46" s="6" t="s">
        <v>53</v>
      </c>
      <c r="E46" s="6" t="s">
        <v>287</v>
      </c>
      <c r="F46" s="6">
        <v>3</v>
      </c>
      <c r="G46" s="11">
        <v>46074.000009837961</v>
      </c>
      <c r="H46" s="11">
        <v>46100.000009837961</v>
      </c>
      <c r="I46" s="6" t="s">
        <v>94</v>
      </c>
      <c r="J46" s="6" t="b">
        <f>IF(AND(H46&lt;Config!$B$2,I46&lt;&gt;"Approved / IFI"),TRUE,FALSE)</f>
        <v>0</v>
      </c>
      <c r="K46" s="6" t="str">
        <f t="shared" si="0"/>
        <v>Complete</v>
      </c>
    </row>
    <row r="47" spans="1:11" x14ac:dyDescent="0.25">
      <c r="A47" s="6" t="s">
        <v>532</v>
      </c>
      <c r="B47" s="6" t="s">
        <v>146</v>
      </c>
      <c r="C47" s="6" t="s">
        <v>533</v>
      </c>
      <c r="D47" s="6" t="s">
        <v>55</v>
      </c>
      <c r="E47" s="6" t="s">
        <v>193</v>
      </c>
      <c r="F47" s="6">
        <v>2</v>
      </c>
      <c r="G47" s="11">
        <v>46114.000009837961</v>
      </c>
      <c r="H47" s="11">
        <v>46130.000009837961</v>
      </c>
      <c r="I47" s="6" t="s">
        <v>94</v>
      </c>
      <c r="J47" s="6" t="b">
        <f>IF(AND(H47&lt;Config!$B$2,I47&lt;&gt;"Approved / IFI"),TRUE,FALSE)</f>
        <v>0</v>
      </c>
      <c r="K47" s="6" t="str">
        <f t="shared" si="0"/>
        <v>Complete</v>
      </c>
    </row>
    <row r="48" spans="1:11" x14ac:dyDescent="0.25">
      <c r="A48" s="6" t="s">
        <v>534</v>
      </c>
      <c r="B48" s="6" t="s">
        <v>146</v>
      </c>
      <c r="C48" s="6" t="s">
        <v>535</v>
      </c>
      <c r="D48" s="6" t="s">
        <v>56</v>
      </c>
      <c r="E48" s="6" t="s">
        <v>317</v>
      </c>
      <c r="F48" s="6">
        <v>4</v>
      </c>
      <c r="G48" s="11">
        <v>46229.000009837961</v>
      </c>
      <c r="H48" s="11">
        <v>46243.000009837961</v>
      </c>
      <c r="I48" s="6" t="s">
        <v>94</v>
      </c>
      <c r="J48" s="6" t="b">
        <f>IF(AND(H48&lt;Config!$B$2,I48&lt;&gt;"Approved / IFI"),TRUE,FALSE)</f>
        <v>0</v>
      </c>
      <c r="K48" s="6" t="str">
        <f t="shared" si="0"/>
        <v>Complete</v>
      </c>
    </row>
    <row r="49" spans="1:11" x14ac:dyDescent="0.25">
      <c r="A49" s="6" t="s">
        <v>536</v>
      </c>
      <c r="B49" s="6" t="s">
        <v>146</v>
      </c>
      <c r="C49" s="6" t="s">
        <v>537</v>
      </c>
      <c r="D49" s="6" t="s">
        <v>54</v>
      </c>
      <c r="E49" s="6" t="s">
        <v>321</v>
      </c>
      <c r="F49" s="6">
        <v>0</v>
      </c>
      <c r="G49" s="11">
        <v>46148.000009837961</v>
      </c>
      <c r="H49" s="11">
        <v>46176.000009837961</v>
      </c>
      <c r="I49" s="6" t="s">
        <v>94</v>
      </c>
      <c r="J49" s="6" t="b">
        <f>IF(AND(H49&lt;Config!$B$2,I49&lt;&gt;"Approved / IFI"),TRUE,FALSE)</f>
        <v>0</v>
      </c>
      <c r="K49" s="6" t="str">
        <f t="shared" si="0"/>
        <v>Complete</v>
      </c>
    </row>
    <row r="50" spans="1:11" x14ac:dyDescent="0.25">
      <c r="A50" s="6" t="s">
        <v>538</v>
      </c>
      <c r="B50" s="6" t="s">
        <v>146</v>
      </c>
      <c r="C50" s="6" t="s">
        <v>539</v>
      </c>
      <c r="D50" s="6" t="s">
        <v>53</v>
      </c>
      <c r="E50" s="6" t="s">
        <v>289</v>
      </c>
      <c r="F50" s="6">
        <v>1</v>
      </c>
      <c r="G50" s="11">
        <v>46176.000009837961</v>
      </c>
      <c r="H50" s="11">
        <v>46188.000009837961</v>
      </c>
      <c r="I50" s="6" t="s">
        <v>94</v>
      </c>
      <c r="J50" s="6" t="b">
        <f>IF(AND(H50&lt;Config!$B$2,I50&lt;&gt;"Approved / IFI"),TRUE,FALSE)</f>
        <v>0</v>
      </c>
      <c r="K50" s="6" t="str">
        <f t="shared" si="0"/>
        <v>Complete</v>
      </c>
    </row>
    <row r="51" spans="1:11" x14ac:dyDescent="0.25">
      <c r="A51" s="6" t="s">
        <v>540</v>
      </c>
      <c r="B51" s="6" t="s">
        <v>146</v>
      </c>
      <c r="C51" s="6" t="s">
        <v>541</v>
      </c>
      <c r="D51" s="6" t="s">
        <v>51</v>
      </c>
      <c r="E51" s="6" t="s">
        <v>274</v>
      </c>
      <c r="F51" s="6">
        <v>0</v>
      </c>
      <c r="G51" s="11">
        <v>46045.000009837961</v>
      </c>
      <c r="H51" s="11">
        <v>46075.000009837961</v>
      </c>
      <c r="I51" s="6" t="s">
        <v>94</v>
      </c>
      <c r="J51" s="6" t="b">
        <f>IF(AND(H51&lt;Config!$B$2,I51&lt;&gt;"Approved / IFI"),TRUE,FALSE)</f>
        <v>0</v>
      </c>
      <c r="K51" s="6" t="str">
        <f t="shared" si="0"/>
        <v>Complete</v>
      </c>
    </row>
    <row r="52" spans="1:11" x14ac:dyDescent="0.25">
      <c r="A52" s="6" t="s">
        <v>542</v>
      </c>
      <c r="B52" s="6" t="s">
        <v>146</v>
      </c>
      <c r="C52" s="6" t="s">
        <v>500</v>
      </c>
      <c r="D52" s="6" t="s">
        <v>50</v>
      </c>
      <c r="E52" s="6" t="s">
        <v>300</v>
      </c>
      <c r="F52" s="6">
        <v>0</v>
      </c>
      <c r="G52" s="11">
        <v>46196.000009837961</v>
      </c>
      <c r="H52" s="11">
        <v>46222.000009837961</v>
      </c>
      <c r="I52" s="6" t="s">
        <v>94</v>
      </c>
      <c r="J52" s="6" t="b">
        <f>IF(AND(H52&lt;Config!$B$2,I52&lt;&gt;"Approved / IFI"),TRUE,FALSE)</f>
        <v>0</v>
      </c>
      <c r="K52" s="6" t="str">
        <f t="shared" si="0"/>
        <v>Complete</v>
      </c>
    </row>
    <row r="53" spans="1:11" x14ac:dyDescent="0.25">
      <c r="A53" s="6" t="s">
        <v>543</v>
      </c>
      <c r="B53" s="6" t="s">
        <v>146</v>
      </c>
      <c r="C53" s="6" t="s">
        <v>544</v>
      </c>
      <c r="D53" s="6" t="s">
        <v>56</v>
      </c>
      <c r="E53" s="6" t="s">
        <v>317</v>
      </c>
      <c r="F53" s="6">
        <v>0</v>
      </c>
      <c r="G53" s="11">
        <v>46218.000009837961</v>
      </c>
      <c r="H53" s="11">
        <v>46230.000009837961</v>
      </c>
      <c r="I53" s="6" t="s">
        <v>94</v>
      </c>
      <c r="J53" s="6" t="b">
        <f>IF(AND(H53&lt;Config!$B$2,I53&lt;&gt;"Approved / IFI"),TRUE,FALSE)</f>
        <v>0</v>
      </c>
      <c r="K53" s="6" t="str">
        <f t="shared" si="0"/>
        <v>Complete</v>
      </c>
    </row>
    <row r="54" spans="1:11" x14ac:dyDescent="0.25">
      <c r="A54" s="6" t="s">
        <v>545</v>
      </c>
      <c r="B54" s="6" t="s">
        <v>146</v>
      </c>
      <c r="C54" s="6" t="s">
        <v>546</v>
      </c>
      <c r="D54" s="6" t="s">
        <v>55</v>
      </c>
      <c r="E54" s="6" t="s">
        <v>310</v>
      </c>
      <c r="F54" s="6">
        <v>0</v>
      </c>
      <c r="G54" s="11">
        <v>46014.000009837961</v>
      </c>
      <c r="H54" s="11">
        <v>46050.000009837961</v>
      </c>
      <c r="I54" s="6" t="s">
        <v>94</v>
      </c>
      <c r="J54" s="6" t="b">
        <f>IF(AND(H54&lt;Config!$B$2,I54&lt;&gt;"Approved / IFI"),TRUE,FALSE)</f>
        <v>0</v>
      </c>
      <c r="K54" s="6" t="str">
        <f t="shared" si="0"/>
        <v>Complete</v>
      </c>
    </row>
    <row r="55" spans="1:11" x14ac:dyDescent="0.25">
      <c r="A55" s="6" t="s">
        <v>547</v>
      </c>
      <c r="B55" s="6" t="s">
        <v>146</v>
      </c>
      <c r="C55" s="6" t="s">
        <v>548</v>
      </c>
      <c r="D55" s="6" t="s">
        <v>53</v>
      </c>
      <c r="E55" s="6" t="s">
        <v>168</v>
      </c>
      <c r="F55" s="6">
        <v>0</v>
      </c>
      <c r="G55" s="11">
        <v>46249.000009837961</v>
      </c>
      <c r="H55" s="11">
        <v>46293.000009837961</v>
      </c>
      <c r="I55" s="6" t="s">
        <v>91</v>
      </c>
      <c r="J55" s="6" t="b">
        <f>IF(AND(H55&lt;Config!$B$2,I55&lt;&gt;"Approved / IFI"),TRUE,FALSE)</f>
        <v>0</v>
      </c>
      <c r="K55" s="6" t="str">
        <f t="shared" si="0"/>
        <v>In Review</v>
      </c>
    </row>
    <row r="56" spans="1:11" x14ac:dyDescent="0.25">
      <c r="A56" s="6" t="s">
        <v>549</v>
      </c>
      <c r="B56" s="6" t="s">
        <v>146</v>
      </c>
      <c r="C56" s="6" t="s">
        <v>550</v>
      </c>
      <c r="D56" s="6" t="s">
        <v>51</v>
      </c>
      <c r="E56" s="6" t="s">
        <v>274</v>
      </c>
      <c r="F56" s="6">
        <v>3</v>
      </c>
      <c r="G56" s="11">
        <v>46213.000009837961</v>
      </c>
      <c r="H56" s="11">
        <v>46230.000009837961</v>
      </c>
      <c r="I56" s="6" t="s">
        <v>92</v>
      </c>
      <c r="J56" s="6" t="b">
        <f>IF(AND(H56&lt;Config!$B$2,I56&lt;&gt;"Approved / IFI"),TRUE,FALSE)</f>
        <v>1</v>
      </c>
      <c r="K56" s="6" t="str">
        <f t="shared" si="0"/>
        <v>Overdue</v>
      </c>
    </row>
    <row r="57" spans="1:11" x14ac:dyDescent="0.25">
      <c r="A57" s="6" t="s">
        <v>551</v>
      </c>
      <c r="B57" s="6" t="s">
        <v>146</v>
      </c>
      <c r="C57" s="6" t="s">
        <v>552</v>
      </c>
      <c r="D57" s="6" t="s">
        <v>56</v>
      </c>
      <c r="E57" s="6" t="s">
        <v>317</v>
      </c>
      <c r="F57" s="6">
        <v>1</v>
      </c>
      <c r="G57" s="11">
        <v>46289.000009837961</v>
      </c>
      <c r="H57" s="11">
        <v>46314.000009837961</v>
      </c>
      <c r="I57" s="6" t="s">
        <v>93</v>
      </c>
      <c r="J57" s="6" t="b">
        <f>IF(AND(H57&lt;Config!$B$2,I57&lt;&gt;"Approved / IFI"),TRUE,FALSE)</f>
        <v>0</v>
      </c>
      <c r="K57" s="6" t="str">
        <f t="shared" si="0"/>
        <v>Revise</v>
      </c>
    </row>
    <row r="58" spans="1:11" x14ac:dyDescent="0.25">
      <c r="A58" s="6" t="s">
        <v>553</v>
      </c>
      <c r="B58" s="6" t="s">
        <v>146</v>
      </c>
      <c r="C58" s="6" t="s">
        <v>529</v>
      </c>
      <c r="D58" s="6" t="s">
        <v>51</v>
      </c>
      <c r="E58" s="6" t="s">
        <v>276</v>
      </c>
      <c r="F58" s="6">
        <v>1</v>
      </c>
      <c r="G58" s="11">
        <v>46261.000009837961</v>
      </c>
      <c r="H58" s="11">
        <v>46292.000009837961</v>
      </c>
      <c r="I58" s="6" t="s">
        <v>91</v>
      </c>
      <c r="J58" s="6" t="b">
        <f>IF(AND(H58&lt;Config!$B$2,I58&lt;&gt;"Approved / IFI"),TRUE,FALSE)</f>
        <v>0</v>
      </c>
      <c r="K58" s="6" t="str">
        <f t="shared" si="0"/>
        <v>In Review</v>
      </c>
    </row>
    <row r="59" spans="1:11" x14ac:dyDescent="0.25">
      <c r="A59" s="6" t="s">
        <v>554</v>
      </c>
      <c r="B59" s="6" t="s">
        <v>146</v>
      </c>
      <c r="C59" s="6" t="s">
        <v>541</v>
      </c>
      <c r="D59" s="6" t="s">
        <v>51</v>
      </c>
      <c r="E59" s="6" t="s">
        <v>276</v>
      </c>
      <c r="F59" s="6">
        <v>1</v>
      </c>
      <c r="G59" s="11">
        <v>46244.000009837961</v>
      </c>
      <c r="H59" s="11">
        <v>46266.000009837961</v>
      </c>
      <c r="I59" s="6" t="s">
        <v>90</v>
      </c>
      <c r="J59" s="6" t="b">
        <f>IF(AND(H59&lt;Config!$B$2,I59&lt;&gt;"Approved / IFI"),TRUE,FALSE)</f>
        <v>0</v>
      </c>
      <c r="K59" s="6" t="str">
        <f t="shared" si="0"/>
        <v>In Progress</v>
      </c>
    </row>
    <row r="60" spans="1:11" x14ac:dyDescent="0.25">
      <c r="A60" s="6" t="s">
        <v>555</v>
      </c>
      <c r="B60" s="6" t="s">
        <v>146</v>
      </c>
      <c r="C60" s="6" t="s">
        <v>556</v>
      </c>
      <c r="D60" s="6" t="s">
        <v>52</v>
      </c>
      <c r="E60" s="6" t="s">
        <v>279</v>
      </c>
      <c r="F60" s="6">
        <v>1</v>
      </c>
      <c r="G60" s="11">
        <v>46219.000009837961</v>
      </c>
      <c r="H60" s="11">
        <v>46248.000009837961</v>
      </c>
      <c r="I60" s="6" t="s">
        <v>92</v>
      </c>
      <c r="J60" s="6" t="b">
        <f>IF(AND(H60&lt;Config!$B$2,I60&lt;&gt;"Approved / IFI"),TRUE,FALSE)</f>
        <v>1</v>
      </c>
      <c r="K60" s="6" t="str">
        <f t="shared" si="0"/>
        <v>Overdue</v>
      </c>
    </row>
    <row r="61" spans="1:11" x14ac:dyDescent="0.25">
      <c r="A61" s="6" t="s">
        <v>557</v>
      </c>
      <c r="B61" s="6" t="s">
        <v>146</v>
      </c>
      <c r="C61" s="6" t="s">
        <v>480</v>
      </c>
      <c r="D61" s="6" t="s">
        <v>56</v>
      </c>
      <c r="E61" s="6" t="s">
        <v>319</v>
      </c>
      <c r="F61" s="6">
        <v>3</v>
      </c>
      <c r="G61" s="11">
        <v>46253.000009837961</v>
      </c>
      <c r="H61" s="11">
        <v>46271.000009837961</v>
      </c>
      <c r="I61" s="6" t="s">
        <v>91</v>
      </c>
      <c r="J61" s="6" t="b">
        <f>IF(AND(H61&lt;Config!$B$2,I61&lt;&gt;"Approved / IFI"),TRUE,FALSE)</f>
        <v>0</v>
      </c>
      <c r="K61" s="6" t="str">
        <f t="shared" si="0"/>
        <v>In Review</v>
      </c>
    </row>
    <row r="62" spans="1:11" x14ac:dyDescent="0.25">
      <c r="A62" s="6" t="s">
        <v>558</v>
      </c>
      <c r="B62" s="6" t="s">
        <v>146</v>
      </c>
      <c r="C62" s="6" t="s">
        <v>493</v>
      </c>
      <c r="D62" s="6" t="s">
        <v>54</v>
      </c>
      <c r="E62" s="6" t="s">
        <v>321</v>
      </c>
      <c r="F62" s="6">
        <v>0</v>
      </c>
      <c r="G62" s="11">
        <v>46250.000009837961</v>
      </c>
      <c r="H62" s="11">
        <v>46274.000009837961</v>
      </c>
      <c r="I62" s="6" t="s">
        <v>91</v>
      </c>
      <c r="J62" s="6" t="b">
        <f>IF(AND(H62&lt;Config!$B$2,I62&lt;&gt;"Approved / IFI"),TRUE,FALSE)</f>
        <v>0</v>
      </c>
      <c r="K62" s="6" t="str">
        <f t="shared" si="0"/>
        <v>In Review</v>
      </c>
    </row>
    <row r="63" spans="1:11" x14ac:dyDescent="0.25">
      <c r="A63" s="6" t="s">
        <v>559</v>
      </c>
      <c r="B63" s="6" t="s">
        <v>146</v>
      </c>
      <c r="C63" s="6" t="s">
        <v>560</v>
      </c>
      <c r="D63" s="6" t="s">
        <v>53</v>
      </c>
      <c r="E63" s="6" t="s">
        <v>168</v>
      </c>
      <c r="F63" s="6">
        <v>3</v>
      </c>
      <c r="G63" s="11">
        <v>46236.000009837961</v>
      </c>
      <c r="H63" s="11">
        <v>46270.000009837961</v>
      </c>
      <c r="I63" s="6" t="s">
        <v>93</v>
      </c>
      <c r="J63" s="6" t="b">
        <f>IF(AND(H63&lt;Config!$B$2,I63&lt;&gt;"Approved / IFI"),TRUE,FALSE)</f>
        <v>0</v>
      </c>
      <c r="K63" s="6" t="str">
        <f t="shared" si="0"/>
        <v>Revise</v>
      </c>
    </row>
    <row r="64" spans="1:11" x14ac:dyDescent="0.25">
      <c r="A64" s="6" t="s">
        <v>561</v>
      </c>
      <c r="B64" s="6" t="s">
        <v>146</v>
      </c>
      <c r="C64" s="6" t="s">
        <v>562</v>
      </c>
      <c r="D64" s="6" t="s">
        <v>50</v>
      </c>
      <c r="E64" s="6" t="s">
        <v>150</v>
      </c>
      <c r="F64" s="6">
        <v>3</v>
      </c>
      <c r="G64" s="11">
        <v>46226.000009837961</v>
      </c>
      <c r="H64" s="11">
        <v>46258.000009837961</v>
      </c>
      <c r="I64" s="6" t="s">
        <v>91</v>
      </c>
      <c r="J64" s="6" t="b">
        <f>IF(AND(H64&lt;Config!$B$2,I64&lt;&gt;"Approved / IFI"),TRUE,FALSE)</f>
        <v>0</v>
      </c>
      <c r="K64" s="6" t="str">
        <f t="shared" si="0"/>
        <v>In Review</v>
      </c>
    </row>
    <row r="65" spans="1:11" x14ac:dyDescent="0.25">
      <c r="A65" s="6" t="s">
        <v>563</v>
      </c>
      <c r="B65" s="6" t="s">
        <v>152</v>
      </c>
      <c r="C65" s="6" t="s">
        <v>473</v>
      </c>
      <c r="D65" s="6" t="s">
        <v>53</v>
      </c>
      <c r="E65" s="6" t="s">
        <v>156</v>
      </c>
      <c r="F65" s="6">
        <v>2</v>
      </c>
      <c r="G65" s="11">
        <v>46095.000009837961</v>
      </c>
      <c r="H65" s="11">
        <v>46113.000009837961</v>
      </c>
      <c r="I65" s="6" t="s">
        <v>94</v>
      </c>
      <c r="J65" s="6" t="b">
        <f>IF(AND(H65&lt;Config!$B$2,I65&lt;&gt;"Approved / IFI"),TRUE,FALSE)</f>
        <v>0</v>
      </c>
      <c r="K65" s="6" t="str">
        <f t="shared" si="0"/>
        <v>Complete</v>
      </c>
    </row>
    <row r="66" spans="1:11" x14ac:dyDescent="0.25">
      <c r="A66" s="6" t="s">
        <v>564</v>
      </c>
      <c r="B66" s="6" t="s">
        <v>152</v>
      </c>
      <c r="C66" s="6" t="s">
        <v>565</v>
      </c>
      <c r="D66" s="6" t="s">
        <v>50</v>
      </c>
      <c r="E66" s="6" t="s">
        <v>150</v>
      </c>
      <c r="F66" s="6">
        <v>1</v>
      </c>
      <c r="G66" s="11">
        <v>46214.000009837961</v>
      </c>
      <c r="H66" s="11">
        <v>46226.000009837961</v>
      </c>
      <c r="I66" s="6" t="s">
        <v>94</v>
      </c>
      <c r="J66" s="6" t="b">
        <f>IF(AND(H66&lt;Config!$B$2,I66&lt;&gt;"Approved / IFI"),TRUE,FALSE)</f>
        <v>0</v>
      </c>
      <c r="K66" s="6" t="str">
        <f t="shared" ref="K66:K129" si="1">IF(J66=TRUE,"Overdue",IF(I66="Approved / IFI","Complete",IF(I66="Internal Development","In Progress",IF(I66="Revise &amp; Resubmit","Revise","In Review"))))</f>
        <v>Complete</v>
      </c>
    </row>
    <row r="67" spans="1:11" x14ac:dyDescent="0.25">
      <c r="A67" s="6" t="s">
        <v>566</v>
      </c>
      <c r="B67" s="6" t="s">
        <v>152</v>
      </c>
      <c r="C67" s="6" t="s">
        <v>498</v>
      </c>
      <c r="D67" s="6" t="s">
        <v>52</v>
      </c>
      <c r="E67" s="6" t="s">
        <v>183</v>
      </c>
      <c r="F67" s="6">
        <v>1</v>
      </c>
      <c r="G67" s="11">
        <v>46210.000009837961</v>
      </c>
      <c r="H67" s="11">
        <v>46223.000009837961</v>
      </c>
      <c r="I67" s="6" t="s">
        <v>94</v>
      </c>
      <c r="J67" s="6" t="b">
        <f>IF(AND(H67&lt;Config!$B$2,I67&lt;&gt;"Approved / IFI"),TRUE,FALSE)</f>
        <v>0</v>
      </c>
      <c r="K67" s="6" t="str">
        <f t="shared" si="1"/>
        <v>Complete</v>
      </c>
    </row>
    <row r="68" spans="1:11" x14ac:dyDescent="0.25">
      <c r="A68" s="6" t="s">
        <v>567</v>
      </c>
      <c r="B68" s="6" t="s">
        <v>152</v>
      </c>
      <c r="C68" s="6" t="s">
        <v>467</v>
      </c>
      <c r="D68" s="6" t="s">
        <v>53</v>
      </c>
      <c r="E68" s="6" t="s">
        <v>156</v>
      </c>
      <c r="F68" s="6">
        <v>3</v>
      </c>
      <c r="G68" s="11">
        <v>46040.000009837961</v>
      </c>
      <c r="H68" s="11">
        <v>46062.000009837961</v>
      </c>
      <c r="I68" s="6" t="s">
        <v>94</v>
      </c>
      <c r="J68" s="6" t="b">
        <f>IF(AND(H68&lt;Config!$B$2,I68&lt;&gt;"Approved / IFI"),TRUE,FALSE)</f>
        <v>0</v>
      </c>
      <c r="K68" s="6" t="str">
        <f t="shared" si="1"/>
        <v>Complete</v>
      </c>
    </row>
    <row r="69" spans="1:11" x14ac:dyDescent="0.25">
      <c r="A69" s="6" t="s">
        <v>568</v>
      </c>
      <c r="B69" s="6" t="s">
        <v>152</v>
      </c>
      <c r="C69" s="6" t="s">
        <v>569</v>
      </c>
      <c r="D69" s="6" t="s">
        <v>53</v>
      </c>
      <c r="E69" s="6" t="s">
        <v>156</v>
      </c>
      <c r="F69" s="6">
        <v>0</v>
      </c>
      <c r="G69" s="11">
        <v>46162.000009837961</v>
      </c>
      <c r="H69" s="11">
        <v>46173.000009837961</v>
      </c>
      <c r="I69" s="6" t="s">
        <v>94</v>
      </c>
      <c r="J69" s="6" t="b">
        <f>IF(AND(H69&lt;Config!$B$2,I69&lt;&gt;"Approved / IFI"),TRUE,FALSE)</f>
        <v>0</v>
      </c>
      <c r="K69" s="6" t="str">
        <f t="shared" si="1"/>
        <v>Complete</v>
      </c>
    </row>
    <row r="70" spans="1:11" x14ac:dyDescent="0.25">
      <c r="A70" s="6" t="s">
        <v>570</v>
      </c>
      <c r="B70" s="6" t="s">
        <v>152</v>
      </c>
      <c r="C70" s="6" t="s">
        <v>571</v>
      </c>
      <c r="D70" s="6" t="s">
        <v>51</v>
      </c>
      <c r="E70" s="6" t="s">
        <v>294</v>
      </c>
      <c r="F70" s="6">
        <v>3</v>
      </c>
      <c r="G70" s="11">
        <v>46041.000009837961</v>
      </c>
      <c r="H70" s="11">
        <v>46069.000009837961</v>
      </c>
      <c r="I70" s="6" t="s">
        <v>94</v>
      </c>
      <c r="J70" s="6" t="b">
        <f>IF(AND(H70&lt;Config!$B$2,I70&lt;&gt;"Approved / IFI"),TRUE,FALSE)</f>
        <v>0</v>
      </c>
      <c r="K70" s="6" t="str">
        <f t="shared" si="1"/>
        <v>Complete</v>
      </c>
    </row>
    <row r="71" spans="1:11" x14ac:dyDescent="0.25">
      <c r="A71" s="6" t="s">
        <v>572</v>
      </c>
      <c r="B71" s="6" t="s">
        <v>152</v>
      </c>
      <c r="C71" s="6" t="s">
        <v>531</v>
      </c>
      <c r="D71" s="6" t="s">
        <v>53</v>
      </c>
      <c r="E71" s="6" t="s">
        <v>287</v>
      </c>
      <c r="F71" s="6">
        <v>2</v>
      </c>
      <c r="G71" s="11">
        <v>46104.000009837961</v>
      </c>
      <c r="H71" s="11">
        <v>46115.000009837961</v>
      </c>
      <c r="I71" s="6" t="s">
        <v>94</v>
      </c>
      <c r="J71" s="6" t="b">
        <f>IF(AND(H71&lt;Config!$B$2,I71&lt;&gt;"Approved / IFI"),TRUE,FALSE)</f>
        <v>0</v>
      </c>
      <c r="K71" s="6" t="str">
        <f t="shared" si="1"/>
        <v>Complete</v>
      </c>
    </row>
    <row r="72" spans="1:11" x14ac:dyDescent="0.25">
      <c r="A72" s="6" t="s">
        <v>573</v>
      </c>
      <c r="B72" s="6" t="s">
        <v>152</v>
      </c>
      <c r="C72" s="6" t="s">
        <v>574</v>
      </c>
      <c r="D72" s="6" t="s">
        <v>50</v>
      </c>
      <c r="E72" s="6" t="s">
        <v>298</v>
      </c>
      <c r="F72" s="6">
        <v>0</v>
      </c>
      <c r="G72" s="11">
        <v>46074.000009837961</v>
      </c>
      <c r="H72" s="11">
        <v>46090.000009837961</v>
      </c>
      <c r="I72" s="6" t="s">
        <v>94</v>
      </c>
      <c r="J72" s="6" t="b">
        <f>IF(AND(H72&lt;Config!$B$2,I72&lt;&gt;"Approved / IFI"),TRUE,FALSE)</f>
        <v>0</v>
      </c>
      <c r="K72" s="6" t="str">
        <f t="shared" si="1"/>
        <v>Complete</v>
      </c>
    </row>
    <row r="73" spans="1:11" x14ac:dyDescent="0.25">
      <c r="A73" s="6" t="s">
        <v>575</v>
      </c>
      <c r="B73" s="6" t="s">
        <v>152</v>
      </c>
      <c r="C73" s="6" t="s">
        <v>498</v>
      </c>
      <c r="D73" s="6" t="s">
        <v>52</v>
      </c>
      <c r="E73" s="6" t="s">
        <v>279</v>
      </c>
      <c r="F73" s="6">
        <v>0</v>
      </c>
      <c r="G73" s="11">
        <v>46077.000009837961</v>
      </c>
      <c r="H73" s="11">
        <v>46107.000009837961</v>
      </c>
      <c r="I73" s="6" t="s">
        <v>94</v>
      </c>
      <c r="J73" s="6" t="b">
        <f>IF(AND(H73&lt;Config!$B$2,I73&lt;&gt;"Approved / IFI"),TRUE,FALSE)</f>
        <v>0</v>
      </c>
      <c r="K73" s="6" t="str">
        <f t="shared" si="1"/>
        <v>Complete</v>
      </c>
    </row>
    <row r="74" spans="1:11" x14ac:dyDescent="0.25">
      <c r="A74" s="6" t="s">
        <v>576</v>
      </c>
      <c r="B74" s="6" t="s">
        <v>152</v>
      </c>
      <c r="C74" s="6" t="s">
        <v>475</v>
      </c>
      <c r="D74" s="6" t="s">
        <v>52</v>
      </c>
      <c r="E74" s="6" t="s">
        <v>279</v>
      </c>
      <c r="F74" s="6">
        <v>0</v>
      </c>
      <c r="G74" s="11">
        <v>46091.000009837961</v>
      </c>
      <c r="H74" s="11">
        <v>46109.000009837961</v>
      </c>
      <c r="I74" s="6" t="s">
        <v>94</v>
      </c>
      <c r="J74" s="6" t="b">
        <f>IF(AND(H74&lt;Config!$B$2,I74&lt;&gt;"Approved / IFI"),TRUE,FALSE)</f>
        <v>0</v>
      </c>
      <c r="K74" s="6" t="str">
        <f t="shared" si="1"/>
        <v>Complete</v>
      </c>
    </row>
    <row r="75" spans="1:11" x14ac:dyDescent="0.25">
      <c r="A75" s="6" t="s">
        <v>577</v>
      </c>
      <c r="B75" s="6" t="s">
        <v>152</v>
      </c>
      <c r="C75" s="6" t="s">
        <v>484</v>
      </c>
      <c r="D75" s="6" t="s">
        <v>52</v>
      </c>
      <c r="E75" s="6" t="s">
        <v>302</v>
      </c>
      <c r="F75" s="6">
        <v>1</v>
      </c>
      <c r="G75" s="11">
        <v>46144.000009837961</v>
      </c>
      <c r="H75" s="11">
        <v>46167.000009837961</v>
      </c>
      <c r="I75" s="6" t="s">
        <v>94</v>
      </c>
      <c r="J75" s="6" t="b">
        <f>IF(AND(H75&lt;Config!$B$2,I75&lt;&gt;"Approved / IFI"),TRUE,FALSE)</f>
        <v>0</v>
      </c>
      <c r="K75" s="6" t="str">
        <f t="shared" si="1"/>
        <v>Complete</v>
      </c>
    </row>
    <row r="76" spans="1:11" x14ac:dyDescent="0.25">
      <c r="A76" s="6" t="s">
        <v>578</v>
      </c>
      <c r="B76" s="6" t="s">
        <v>152</v>
      </c>
      <c r="C76" s="6" t="s">
        <v>451</v>
      </c>
      <c r="D76" s="6" t="s">
        <v>51</v>
      </c>
      <c r="E76" s="6" t="s">
        <v>274</v>
      </c>
      <c r="F76" s="6">
        <v>3</v>
      </c>
      <c r="G76" s="11">
        <v>46199.000009837961</v>
      </c>
      <c r="H76" s="11">
        <v>46233.000009837961</v>
      </c>
      <c r="I76" s="6" t="s">
        <v>92</v>
      </c>
      <c r="J76" s="6" t="b">
        <f>IF(AND(H76&lt;Config!$B$2,I76&lt;&gt;"Approved / IFI"),TRUE,FALSE)</f>
        <v>1</v>
      </c>
      <c r="K76" s="6" t="str">
        <f t="shared" si="1"/>
        <v>Overdue</v>
      </c>
    </row>
    <row r="77" spans="1:11" x14ac:dyDescent="0.25">
      <c r="A77" s="6" t="s">
        <v>579</v>
      </c>
      <c r="B77" s="6" t="s">
        <v>152</v>
      </c>
      <c r="C77" s="6" t="s">
        <v>482</v>
      </c>
      <c r="D77" s="6" t="s">
        <v>50</v>
      </c>
      <c r="E77" s="6" t="s">
        <v>137</v>
      </c>
      <c r="F77" s="6">
        <v>3</v>
      </c>
      <c r="G77" s="11">
        <v>46258.000009837961</v>
      </c>
      <c r="H77" s="11">
        <v>46297.000009837961</v>
      </c>
      <c r="I77" s="6" t="s">
        <v>90</v>
      </c>
      <c r="J77" s="6" t="b">
        <f>IF(AND(H77&lt;Config!$B$2,I77&lt;&gt;"Approved / IFI"),TRUE,FALSE)</f>
        <v>0</v>
      </c>
      <c r="K77" s="6" t="str">
        <f t="shared" si="1"/>
        <v>In Progress</v>
      </c>
    </row>
    <row r="78" spans="1:11" x14ac:dyDescent="0.25">
      <c r="A78" s="6" t="s">
        <v>580</v>
      </c>
      <c r="B78" s="6" t="s">
        <v>152</v>
      </c>
      <c r="C78" s="6" t="s">
        <v>581</v>
      </c>
      <c r="D78" s="6" t="s">
        <v>54</v>
      </c>
      <c r="E78" s="6" t="s">
        <v>321</v>
      </c>
      <c r="F78" s="6">
        <v>3</v>
      </c>
      <c r="G78" s="11">
        <v>46210.000009837961</v>
      </c>
      <c r="H78" s="11">
        <v>46247.000009837961</v>
      </c>
      <c r="I78" s="6" t="s">
        <v>90</v>
      </c>
      <c r="J78" s="6" t="b">
        <f>IF(AND(H78&lt;Config!$B$2,I78&lt;&gt;"Approved / IFI"),TRUE,FALSE)</f>
        <v>1</v>
      </c>
      <c r="K78" s="6" t="str">
        <f t="shared" si="1"/>
        <v>Overdue</v>
      </c>
    </row>
    <row r="79" spans="1:11" x14ac:dyDescent="0.25">
      <c r="A79" s="6" t="s">
        <v>582</v>
      </c>
      <c r="B79" s="6" t="s">
        <v>152</v>
      </c>
      <c r="C79" s="6" t="s">
        <v>562</v>
      </c>
      <c r="D79" s="6" t="s">
        <v>50</v>
      </c>
      <c r="E79" s="6" t="s">
        <v>296</v>
      </c>
      <c r="F79" s="6">
        <v>0</v>
      </c>
      <c r="G79" s="11">
        <v>46230.000009837961</v>
      </c>
      <c r="H79" s="11">
        <v>46261.000009837961</v>
      </c>
      <c r="I79" s="6" t="s">
        <v>90</v>
      </c>
      <c r="J79" s="6" t="b">
        <f>IF(AND(H79&lt;Config!$B$2,I79&lt;&gt;"Approved / IFI"),TRUE,FALSE)</f>
        <v>0</v>
      </c>
      <c r="K79" s="6" t="str">
        <f t="shared" si="1"/>
        <v>In Progress</v>
      </c>
    </row>
    <row r="80" spans="1:11" x14ac:dyDescent="0.25">
      <c r="A80" s="6" t="s">
        <v>583</v>
      </c>
      <c r="B80" s="6" t="s">
        <v>152</v>
      </c>
      <c r="C80" s="6" t="s">
        <v>457</v>
      </c>
      <c r="D80" s="6" t="s">
        <v>52</v>
      </c>
      <c r="E80" s="6" t="s">
        <v>302</v>
      </c>
      <c r="F80" s="6">
        <v>3</v>
      </c>
      <c r="G80" s="11">
        <v>46247.000009837961</v>
      </c>
      <c r="H80" s="11">
        <v>46272.000009837961</v>
      </c>
      <c r="I80" s="6" t="s">
        <v>91</v>
      </c>
      <c r="J80" s="6" t="b">
        <f>IF(AND(H80&lt;Config!$B$2,I80&lt;&gt;"Approved / IFI"),TRUE,FALSE)</f>
        <v>0</v>
      </c>
      <c r="K80" s="6" t="str">
        <f t="shared" si="1"/>
        <v>In Review</v>
      </c>
    </row>
    <row r="81" spans="1:11" x14ac:dyDescent="0.25">
      <c r="A81" s="6" t="s">
        <v>584</v>
      </c>
      <c r="B81" s="6" t="s">
        <v>152</v>
      </c>
      <c r="C81" s="6" t="s">
        <v>506</v>
      </c>
      <c r="D81" s="6" t="s">
        <v>50</v>
      </c>
      <c r="E81" s="6" t="s">
        <v>137</v>
      </c>
      <c r="F81" s="6">
        <v>4</v>
      </c>
      <c r="G81" s="11">
        <v>46214.000009837961</v>
      </c>
      <c r="H81" s="11">
        <v>46241.000009837961</v>
      </c>
      <c r="I81" s="6" t="s">
        <v>92</v>
      </c>
      <c r="J81" s="6" t="b">
        <f>IF(AND(H81&lt;Config!$B$2,I81&lt;&gt;"Approved / IFI"),TRUE,FALSE)</f>
        <v>1</v>
      </c>
      <c r="K81" s="6" t="str">
        <f t="shared" si="1"/>
        <v>Overdue</v>
      </c>
    </row>
    <row r="82" spans="1:11" x14ac:dyDescent="0.25">
      <c r="A82" s="6" t="s">
        <v>585</v>
      </c>
      <c r="B82" s="6" t="s">
        <v>152</v>
      </c>
      <c r="C82" s="6" t="s">
        <v>482</v>
      </c>
      <c r="D82" s="6" t="s">
        <v>50</v>
      </c>
      <c r="E82" s="6" t="s">
        <v>150</v>
      </c>
      <c r="F82" s="6">
        <v>3</v>
      </c>
      <c r="G82" s="11">
        <v>46275.000009837961</v>
      </c>
      <c r="H82" s="11">
        <v>46290.000009837961</v>
      </c>
      <c r="I82" s="6" t="s">
        <v>91</v>
      </c>
      <c r="J82" s="6" t="b">
        <f>IF(AND(H82&lt;Config!$B$2,I82&lt;&gt;"Approved / IFI"),TRUE,FALSE)</f>
        <v>0</v>
      </c>
      <c r="K82" s="6" t="str">
        <f t="shared" si="1"/>
        <v>In Review</v>
      </c>
    </row>
    <row r="83" spans="1:11" x14ac:dyDescent="0.25">
      <c r="A83" s="6" t="s">
        <v>586</v>
      </c>
      <c r="B83" s="6" t="s">
        <v>158</v>
      </c>
      <c r="C83" s="6" t="s">
        <v>560</v>
      </c>
      <c r="D83" s="6" t="s">
        <v>53</v>
      </c>
      <c r="E83" s="6" t="s">
        <v>287</v>
      </c>
      <c r="F83" s="6">
        <v>4</v>
      </c>
      <c r="G83" s="11">
        <v>46153.000009837961</v>
      </c>
      <c r="H83" s="11">
        <v>46163.000009837961</v>
      </c>
      <c r="I83" s="6" t="s">
        <v>94</v>
      </c>
      <c r="J83" s="6" t="b">
        <f>IF(AND(H83&lt;Config!$B$2,I83&lt;&gt;"Approved / IFI"),TRUE,FALSE)</f>
        <v>0</v>
      </c>
      <c r="K83" s="6" t="str">
        <f t="shared" si="1"/>
        <v>Complete</v>
      </c>
    </row>
    <row r="84" spans="1:11" x14ac:dyDescent="0.25">
      <c r="A84" s="6" t="s">
        <v>587</v>
      </c>
      <c r="B84" s="6" t="s">
        <v>158</v>
      </c>
      <c r="C84" s="6" t="s">
        <v>588</v>
      </c>
      <c r="D84" s="6" t="s">
        <v>50</v>
      </c>
      <c r="E84" s="6" t="s">
        <v>150</v>
      </c>
      <c r="F84" s="6">
        <v>2</v>
      </c>
      <c r="G84" s="11">
        <v>46169.000009837961</v>
      </c>
      <c r="H84" s="11">
        <v>46200.000009837961</v>
      </c>
      <c r="I84" s="6" t="s">
        <v>94</v>
      </c>
      <c r="J84" s="6" t="b">
        <f>IF(AND(H84&lt;Config!$B$2,I84&lt;&gt;"Approved / IFI"),TRUE,FALSE)</f>
        <v>0</v>
      </c>
      <c r="K84" s="6" t="str">
        <f t="shared" si="1"/>
        <v>Complete</v>
      </c>
    </row>
    <row r="85" spans="1:11" x14ac:dyDescent="0.25">
      <c r="A85" s="6" t="s">
        <v>589</v>
      </c>
      <c r="B85" s="6" t="s">
        <v>158</v>
      </c>
      <c r="C85" s="6" t="s">
        <v>590</v>
      </c>
      <c r="D85" s="6" t="s">
        <v>54</v>
      </c>
      <c r="E85" s="6" t="s">
        <v>144</v>
      </c>
      <c r="F85" s="6">
        <v>3</v>
      </c>
      <c r="G85" s="11">
        <v>46219.000009837961</v>
      </c>
      <c r="H85" s="11">
        <v>46231.000009837961</v>
      </c>
      <c r="I85" s="6" t="s">
        <v>94</v>
      </c>
      <c r="J85" s="6" t="b">
        <f>IF(AND(H85&lt;Config!$B$2,I85&lt;&gt;"Approved / IFI"),TRUE,FALSE)</f>
        <v>0</v>
      </c>
      <c r="K85" s="6" t="str">
        <f t="shared" si="1"/>
        <v>Complete</v>
      </c>
    </row>
    <row r="86" spans="1:11" x14ac:dyDescent="0.25">
      <c r="A86" s="6" t="s">
        <v>591</v>
      </c>
      <c r="B86" s="6" t="s">
        <v>158</v>
      </c>
      <c r="C86" s="6" t="s">
        <v>592</v>
      </c>
      <c r="D86" s="6" t="s">
        <v>54</v>
      </c>
      <c r="E86" s="6" t="s">
        <v>144</v>
      </c>
      <c r="F86" s="6">
        <v>2</v>
      </c>
      <c r="G86" s="11">
        <v>46155.000009837961</v>
      </c>
      <c r="H86" s="11">
        <v>46179.000009837961</v>
      </c>
      <c r="I86" s="6" t="s">
        <v>94</v>
      </c>
      <c r="J86" s="6" t="b">
        <f>IF(AND(H86&lt;Config!$B$2,I86&lt;&gt;"Approved / IFI"),TRUE,FALSE)</f>
        <v>0</v>
      </c>
      <c r="K86" s="6" t="str">
        <f t="shared" si="1"/>
        <v>Complete</v>
      </c>
    </row>
    <row r="87" spans="1:11" x14ac:dyDescent="0.25">
      <c r="A87" s="6" t="s">
        <v>593</v>
      </c>
      <c r="B87" s="6" t="s">
        <v>158</v>
      </c>
      <c r="C87" s="6" t="s">
        <v>594</v>
      </c>
      <c r="D87" s="6" t="s">
        <v>53</v>
      </c>
      <c r="E87" s="6" t="s">
        <v>168</v>
      </c>
      <c r="F87" s="6">
        <v>4</v>
      </c>
      <c r="G87" s="11">
        <v>46203.000009837961</v>
      </c>
      <c r="H87" s="11">
        <v>46222.000009837961</v>
      </c>
      <c r="I87" s="6" t="s">
        <v>94</v>
      </c>
      <c r="J87" s="6" t="b">
        <f>IF(AND(H87&lt;Config!$B$2,I87&lt;&gt;"Approved / IFI"),TRUE,FALSE)</f>
        <v>0</v>
      </c>
      <c r="K87" s="6" t="str">
        <f t="shared" si="1"/>
        <v>Complete</v>
      </c>
    </row>
    <row r="88" spans="1:11" x14ac:dyDescent="0.25">
      <c r="A88" s="6" t="s">
        <v>595</v>
      </c>
      <c r="B88" s="6" t="s">
        <v>158</v>
      </c>
      <c r="C88" s="6" t="s">
        <v>525</v>
      </c>
      <c r="D88" s="6" t="s">
        <v>54</v>
      </c>
      <c r="E88" s="6" t="s">
        <v>321</v>
      </c>
      <c r="F88" s="6">
        <v>0</v>
      </c>
      <c r="G88" s="11">
        <v>46176.000009837961</v>
      </c>
      <c r="H88" s="11">
        <v>46198.000009837961</v>
      </c>
      <c r="I88" s="6" t="s">
        <v>94</v>
      </c>
      <c r="J88" s="6" t="b">
        <f>IF(AND(H88&lt;Config!$B$2,I88&lt;&gt;"Approved / IFI"),TRUE,FALSE)</f>
        <v>0</v>
      </c>
      <c r="K88" s="6" t="str">
        <f t="shared" si="1"/>
        <v>Complete</v>
      </c>
    </row>
    <row r="89" spans="1:11" x14ac:dyDescent="0.25">
      <c r="A89" s="6" t="s">
        <v>596</v>
      </c>
      <c r="B89" s="6" t="s">
        <v>158</v>
      </c>
      <c r="C89" s="6" t="s">
        <v>597</v>
      </c>
      <c r="D89" s="6" t="s">
        <v>53</v>
      </c>
      <c r="E89" s="6" t="s">
        <v>168</v>
      </c>
      <c r="F89" s="6">
        <v>1</v>
      </c>
      <c r="G89" s="11">
        <v>46037.000009837961</v>
      </c>
      <c r="H89" s="11">
        <v>46057.000009837961</v>
      </c>
      <c r="I89" s="6" t="s">
        <v>94</v>
      </c>
      <c r="J89" s="6" t="b">
        <f>IF(AND(H89&lt;Config!$B$2,I89&lt;&gt;"Approved / IFI"),TRUE,FALSE)</f>
        <v>0</v>
      </c>
      <c r="K89" s="6" t="str">
        <f t="shared" si="1"/>
        <v>Complete</v>
      </c>
    </row>
    <row r="90" spans="1:11" x14ac:dyDescent="0.25">
      <c r="A90" s="6" t="s">
        <v>598</v>
      </c>
      <c r="B90" s="6" t="s">
        <v>158</v>
      </c>
      <c r="C90" s="6" t="s">
        <v>550</v>
      </c>
      <c r="D90" s="6" t="s">
        <v>51</v>
      </c>
      <c r="E90" s="6" t="s">
        <v>294</v>
      </c>
      <c r="F90" s="6">
        <v>1</v>
      </c>
      <c r="G90" s="11">
        <v>46157.000009837961</v>
      </c>
      <c r="H90" s="11">
        <v>46191.000009837961</v>
      </c>
      <c r="I90" s="6" t="s">
        <v>94</v>
      </c>
      <c r="J90" s="6" t="b">
        <f>IF(AND(H90&lt;Config!$B$2,I90&lt;&gt;"Approved / IFI"),TRUE,FALSE)</f>
        <v>0</v>
      </c>
      <c r="K90" s="6" t="str">
        <f t="shared" si="1"/>
        <v>Complete</v>
      </c>
    </row>
    <row r="91" spans="1:11" x14ac:dyDescent="0.25">
      <c r="A91" s="6" t="s">
        <v>599</v>
      </c>
      <c r="B91" s="6" t="s">
        <v>158</v>
      </c>
      <c r="C91" s="6" t="s">
        <v>475</v>
      </c>
      <c r="D91" s="6" t="s">
        <v>52</v>
      </c>
      <c r="E91" s="6" t="s">
        <v>279</v>
      </c>
      <c r="F91" s="6">
        <v>2</v>
      </c>
      <c r="G91" s="11">
        <v>46057.000009837961</v>
      </c>
      <c r="H91" s="11">
        <v>46090.000009837961</v>
      </c>
      <c r="I91" s="6" t="s">
        <v>94</v>
      </c>
      <c r="J91" s="6" t="b">
        <f>IF(AND(H91&lt;Config!$B$2,I91&lt;&gt;"Approved / IFI"),TRUE,FALSE)</f>
        <v>0</v>
      </c>
      <c r="K91" s="6" t="str">
        <f t="shared" si="1"/>
        <v>Complete</v>
      </c>
    </row>
    <row r="92" spans="1:11" x14ac:dyDescent="0.25">
      <c r="A92" s="6" t="s">
        <v>600</v>
      </c>
      <c r="B92" s="6" t="s">
        <v>158</v>
      </c>
      <c r="C92" s="6" t="s">
        <v>594</v>
      </c>
      <c r="D92" s="6" t="s">
        <v>53</v>
      </c>
      <c r="E92" s="6" t="s">
        <v>156</v>
      </c>
      <c r="F92" s="6">
        <v>4</v>
      </c>
      <c r="G92" s="11">
        <v>46117.000009837961</v>
      </c>
      <c r="H92" s="11">
        <v>46132.000009837961</v>
      </c>
      <c r="I92" s="6" t="s">
        <v>94</v>
      </c>
      <c r="J92" s="6" t="b">
        <f>IF(AND(H92&lt;Config!$B$2,I92&lt;&gt;"Approved / IFI"),TRUE,FALSE)</f>
        <v>0</v>
      </c>
      <c r="K92" s="6" t="str">
        <f t="shared" si="1"/>
        <v>Complete</v>
      </c>
    </row>
    <row r="93" spans="1:11" x14ac:dyDescent="0.25">
      <c r="A93" s="6" t="s">
        <v>601</v>
      </c>
      <c r="B93" s="6" t="s">
        <v>158</v>
      </c>
      <c r="C93" s="6" t="s">
        <v>602</v>
      </c>
      <c r="D93" s="6" t="s">
        <v>51</v>
      </c>
      <c r="E93" s="6" t="s">
        <v>276</v>
      </c>
      <c r="F93" s="6">
        <v>0</v>
      </c>
      <c r="G93" s="11">
        <v>46077.000009837961</v>
      </c>
      <c r="H93" s="11">
        <v>46093.000009837961</v>
      </c>
      <c r="I93" s="6" t="s">
        <v>94</v>
      </c>
      <c r="J93" s="6" t="b">
        <f>IF(AND(H93&lt;Config!$B$2,I93&lt;&gt;"Approved / IFI"),TRUE,FALSE)</f>
        <v>0</v>
      </c>
      <c r="K93" s="6" t="str">
        <f t="shared" si="1"/>
        <v>Complete</v>
      </c>
    </row>
    <row r="94" spans="1:11" x14ac:dyDescent="0.25">
      <c r="A94" s="6" t="s">
        <v>603</v>
      </c>
      <c r="B94" s="6" t="s">
        <v>158</v>
      </c>
      <c r="C94" s="6" t="s">
        <v>453</v>
      </c>
      <c r="D94" s="6" t="s">
        <v>52</v>
      </c>
      <c r="E94" s="6" t="s">
        <v>279</v>
      </c>
      <c r="F94" s="6">
        <v>1</v>
      </c>
      <c r="G94" s="11">
        <v>46075.000009837961</v>
      </c>
      <c r="H94" s="11">
        <v>46096.000009837961</v>
      </c>
      <c r="I94" s="6" t="s">
        <v>94</v>
      </c>
      <c r="J94" s="6" t="b">
        <f>IF(AND(H94&lt;Config!$B$2,I94&lt;&gt;"Approved / IFI"),TRUE,FALSE)</f>
        <v>0</v>
      </c>
      <c r="K94" s="6" t="str">
        <f t="shared" si="1"/>
        <v>Complete</v>
      </c>
    </row>
    <row r="95" spans="1:11" x14ac:dyDescent="0.25">
      <c r="A95" s="6" t="s">
        <v>604</v>
      </c>
      <c r="B95" s="6" t="s">
        <v>158</v>
      </c>
      <c r="C95" s="6" t="s">
        <v>569</v>
      </c>
      <c r="D95" s="6" t="s">
        <v>53</v>
      </c>
      <c r="E95" s="6" t="s">
        <v>287</v>
      </c>
      <c r="F95" s="6">
        <v>4</v>
      </c>
      <c r="G95" s="11">
        <v>46142.000009837961</v>
      </c>
      <c r="H95" s="11">
        <v>46166.000009837961</v>
      </c>
      <c r="I95" s="6" t="s">
        <v>94</v>
      </c>
      <c r="J95" s="6" t="b">
        <f>IF(AND(H95&lt;Config!$B$2,I95&lt;&gt;"Approved / IFI"),TRUE,FALSE)</f>
        <v>0</v>
      </c>
      <c r="K95" s="6" t="str">
        <f t="shared" si="1"/>
        <v>Complete</v>
      </c>
    </row>
    <row r="96" spans="1:11" x14ac:dyDescent="0.25">
      <c r="A96" s="6" t="s">
        <v>605</v>
      </c>
      <c r="B96" s="6" t="s">
        <v>158</v>
      </c>
      <c r="C96" s="6" t="s">
        <v>500</v>
      </c>
      <c r="D96" s="6" t="s">
        <v>50</v>
      </c>
      <c r="E96" s="6" t="s">
        <v>150</v>
      </c>
      <c r="F96" s="6">
        <v>3</v>
      </c>
      <c r="G96" s="11">
        <v>46038.000009837961</v>
      </c>
      <c r="H96" s="11">
        <v>46064.000009837961</v>
      </c>
      <c r="I96" s="6" t="s">
        <v>94</v>
      </c>
      <c r="J96" s="6" t="b">
        <f>IF(AND(H96&lt;Config!$B$2,I96&lt;&gt;"Approved / IFI"),TRUE,FALSE)</f>
        <v>0</v>
      </c>
      <c r="K96" s="6" t="str">
        <f t="shared" si="1"/>
        <v>Complete</v>
      </c>
    </row>
    <row r="97" spans="1:11" x14ac:dyDescent="0.25">
      <c r="A97" s="6" t="s">
        <v>606</v>
      </c>
      <c r="B97" s="6" t="s">
        <v>158</v>
      </c>
      <c r="C97" s="6" t="s">
        <v>475</v>
      </c>
      <c r="D97" s="6" t="s">
        <v>52</v>
      </c>
      <c r="E97" s="6" t="s">
        <v>279</v>
      </c>
      <c r="F97" s="6">
        <v>2</v>
      </c>
      <c r="G97" s="11">
        <v>46055.000009837961</v>
      </c>
      <c r="H97" s="11">
        <v>46079.000009837961</v>
      </c>
      <c r="I97" s="6" t="s">
        <v>94</v>
      </c>
      <c r="J97" s="6" t="b">
        <f>IF(AND(H97&lt;Config!$B$2,I97&lt;&gt;"Approved / IFI"),TRUE,FALSE)</f>
        <v>0</v>
      </c>
      <c r="K97" s="6" t="str">
        <f t="shared" si="1"/>
        <v>Complete</v>
      </c>
    </row>
    <row r="98" spans="1:11" x14ac:dyDescent="0.25">
      <c r="A98" s="6" t="s">
        <v>607</v>
      </c>
      <c r="B98" s="6" t="s">
        <v>158</v>
      </c>
      <c r="C98" s="6" t="s">
        <v>498</v>
      </c>
      <c r="D98" s="6" t="s">
        <v>52</v>
      </c>
      <c r="E98" s="6" t="s">
        <v>183</v>
      </c>
      <c r="F98" s="6">
        <v>3</v>
      </c>
      <c r="G98" s="11">
        <v>46210.000009837961</v>
      </c>
      <c r="H98" s="11">
        <v>46232.000009837961</v>
      </c>
      <c r="I98" s="6" t="s">
        <v>94</v>
      </c>
      <c r="J98" s="6" t="b">
        <f>IF(AND(H98&lt;Config!$B$2,I98&lt;&gt;"Approved / IFI"),TRUE,FALSE)</f>
        <v>0</v>
      </c>
      <c r="K98" s="6" t="str">
        <f t="shared" si="1"/>
        <v>Complete</v>
      </c>
    </row>
    <row r="99" spans="1:11" x14ac:dyDescent="0.25">
      <c r="A99" s="6" t="s">
        <v>608</v>
      </c>
      <c r="B99" s="6" t="s">
        <v>158</v>
      </c>
      <c r="C99" s="6" t="s">
        <v>562</v>
      </c>
      <c r="D99" s="6" t="s">
        <v>50</v>
      </c>
      <c r="E99" s="6" t="s">
        <v>298</v>
      </c>
      <c r="F99" s="6">
        <v>4</v>
      </c>
      <c r="G99" s="11">
        <v>46298.000009837961</v>
      </c>
      <c r="H99" s="11">
        <v>46313.000009837961</v>
      </c>
      <c r="I99" s="6" t="s">
        <v>92</v>
      </c>
      <c r="J99" s="6" t="b">
        <f>IF(AND(H99&lt;Config!$B$2,I99&lt;&gt;"Approved / IFI"),TRUE,FALSE)</f>
        <v>0</v>
      </c>
      <c r="K99" s="6" t="str">
        <f t="shared" si="1"/>
        <v>In Review</v>
      </c>
    </row>
    <row r="100" spans="1:11" x14ac:dyDescent="0.25">
      <c r="A100" s="6" t="s">
        <v>609</v>
      </c>
      <c r="B100" s="6" t="s">
        <v>164</v>
      </c>
      <c r="C100" s="6" t="s">
        <v>610</v>
      </c>
      <c r="D100" s="6" t="s">
        <v>52</v>
      </c>
      <c r="E100" s="6" t="s">
        <v>183</v>
      </c>
      <c r="F100" s="6">
        <v>4</v>
      </c>
      <c r="G100" s="11">
        <v>46053.000009837961</v>
      </c>
      <c r="H100" s="11">
        <v>46081.000009837961</v>
      </c>
      <c r="I100" s="6" t="s">
        <v>94</v>
      </c>
      <c r="J100" s="6" t="b">
        <f>IF(AND(H100&lt;Config!$B$2,I100&lt;&gt;"Approved / IFI"),TRUE,FALSE)</f>
        <v>0</v>
      </c>
      <c r="K100" s="6" t="str">
        <f t="shared" si="1"/>
        <v>Complete</v>
      </c>
    </row>
    <row r="101" spans="1:11" x14ac:dyDescent="0.25">
      <c r="A101" s="6" t="s">
        <v>611</v>
      </c>
      <c r="B101" s="6" t="s">
        <v>164</v>
      </c>
      <c r="C101" s="6" t="s">
        <v>590</v>
      </c>
      <c r="D101" s="6" t="s">
        <v>54</v>
      </c>
      <c r="E101" s="6" t="s">
        <v>144</v>
      </c>
      <c r="F101" s="6">
        <v>2</v>
      </c>
      <c r="G101" s="11">
        <v>46129.000009837961</v>
      </c>
      <c r="H101" s="11">
        <v>46160.000009837961</v>
      </c>
      <c r="I101" s="6" t="s">
        <v>94</v>
      </c>
      <c r="J101" s="6" t="b">
        <f>IF(AND(H101&lt;Config!$B$2,I101&lt;&gt;"Approved / IFI"),TRUE,FALSE)</f>
        <v>0</v>
      </c>
      <c r="K101" s="6" t="str">
        <f t="shared" si="1"/>
        <v>Complete</v>
      </c>
    </row>
    <row r="102" spans="1:11" x14ac:dyDescent="0.25">
      <c r="A102" s="6" t="s">
        <v>612</v>
      </c>
      <c r="B102" s="6" t="s">
        <v>164</v>
      </c>
      <c r="C102" s="6" t="s">
        <v>613</v>
      </c>
      <c r="D102" s="6" t="s">
        <v>50</v>
      </c>
      <c r="E102" s="6" t="s">
        <v>300</v>
      </c>
      <c r="F102" s="6">
        <v>2</v>
      </c>
      <c r="G102" s="11">
        <v>46185.000009837961</v>
      </c>
      <c r="H102" s="11">
        <v>46207.000009837961</v>
      </c>
      <c r="I102" s="6" t="s">
        <v>94</v>
      </c>
      <c r="J102" s="6" t="b">
        <f>IF(AND(H102&lt;Config!$B$2,I102&lt;&gt;"Approved / IFI"),TRUE,FALSE)</f>
        <v>0</v>
      </c>
      <c r="K102" s="6" t="str">
        <f t="shared" si="1"/>
        <v>Complete</v>
      </c>
    </row>
    <row r="103" spans="1:11" x14ac:dyDescent="0.25">
      <c r="A103" s="6" t="s">
        <v>614</v>
      </c>
      <c r="B103" s="6" t="s">
        <v>164</v>
      </c>
      <c r="C103" s="6" t="s">
        <v>610</v>
      </c>
      <c r="D103" s="6" t="s">
        <v>52</v>
      </c>
      <c r="E103" s="6" t="s">
        <v>304</v>
      </c>
      <c r="F103" s="6">
        <v>2</v>
      </c>
      <c r="G103" s="11">
        <v>46094.000009837961</v>
      </c>
      <c r="H103" s="11">
        <v>46108.000009837961</v>
      </c>
      <c r="I103" s="6" t="s">
        <v>94</v>
      </c>
      <c r="J103" s="6" t="b">
        <f>IF(AND(H103&lt;Config!$B$2,I103&lt;&gt;"Approved / IFI"),TRUE,FALSE)</f>
        <v>0</v>
      </c>
      <c r="K103" s="6" t="str">
        <f t="shared" si="1"/>
        <v>Complete</v>
      </c>
    </row>
    <row r="104" spans="1:11" x14ac:dyDescent="0.25">
      <c r="A104" s="6" t="s">
        <v>615</v>
      </c>
      <c r="B104" s="6" t="s">
        <v>164</v>
      </c>
      <c r="C104" s="6" t="s">
        <v>506</v>
      </c>
      <c r="D104" s="6" t="s">
        <v>50</v>
      </c>
      <c r="E104" s="6" t="s">
        <v>298</v>
      </c>
      <c r="F104" s="6">
        <v>2</v>
      </c>
      <c r="G104" s="11">
        <v>46038.000009837961</v>
      </c>
      <c r="H104" s="11">
        <v>46071.000009837961</v>
      </c>
      <c r="I104" s="6" t="s">
        <v>94</v>
      </c>
      <c r="J104" s="6" t="b">
        <f>IF(AND(H104&lt;Config!$B$2,I104&lt;&gt;"Approved / IFI"),TRUE,FALSE)</f>
        <v>0</v>
      </c>
      <c r="K104" s="6" t="str">
        <f t="shared" si="1"/>
        <v>Complete</v>
      </c>
    </row>
    <row r="105" spans="1:11" x14ac:dyDescent="0.25">
      <c r="A105" s="6" t="s">
        <v>616</v>
      </c>
      <c r="B105" s="6" t="s">
        <v>164</v>
      </c>
      <c r="C105" s="6" t="s">
        <v>562</v>
      </c>
      <c r="D105" s="6" t="s">
        <v>50</v>
      </c>
      <c r="E105" s="6" t="s">
        <v>298</v>
      </c>
      <c r="F105" s="6">
        <v>3</v>
      </c>
      <c r="G105" s="11">
        <v>46195.000009837961</v>
      </c>
      <c r="H105" s="11">
        <v>46223.000009837961</v>
      </c>
      <c r="I105" s="6" t="s">
        <v>94</v>
      </c>
      <c r="J105" s="6" t="b">
        <f>IF(AND(H105&lt;Config!$B$2,I105&lt;&gt;"Approved / IFI"),TRUE,FALSE)</f>
        <v>0</v>
      </c>
      <c r="K105" s="6" t="str">
        <f t="shared" si="1"/>
        <v>Complete</v>
      </c>
    </row>
    <row r="106" spans="1:11" x14ac:dyDescent="0.25">
      <c r="A106" s="6" t="s">
        <v>617</v>
      </c>
      <c r="B106" s="6" t="s">
        <v>164</v>
      </c>
      <c r="C106" s="6" t="s">
        <v>475</v>
      </c>
      <c r="D106" s="6" t="s">
        <v>52</v>
      </c>
      <c r="E106" s="6" t="s">
        <v>302</v>
      </c>
      <c r="F106" s="6">
        <v>1</v>
      </c>
      <c r="G106" s="11">
        <v>46039.000009837961</v>
      </c>
      <c r="H106" s="11">
        <v>46075.000009837961</v>
      </c>
      <c r="I106" s="6" t="s">
        <v>94</v>
      </c>
      <c r="J106" s="6" t="b">
        <f>IF(AND(H106&lt;Config!$B$2,I106&lt;&gt;"Approved / IFI"),TRUE,FALSE)</f>
        <v>0</v>
      </c>
      <c r="K106" s="6" t="str">
        <f t="shared" si="1"/>
        <v>Complete</v>
      </c>
    </row>
    <row r="107" spans="1:11" x14ac:dyDescent="0.25">
      <c r="A107" s="6" t="s">
        <v>618</v>
      </c>
      <c r="B107" s="6" t="s">
        <v>164</v>
      </c>
      <c r="C107" s="6" t="s">
        <v>498</v>
      </c>
      <c r="D107" s="6" t="s">
        <v>52</v>
      </c>
      <c r="E107" s="6" t="s">
        <v>302</v>
      </c>
      <c r="F107" s="6">
        <v>4</v>
      </c>
      <c r="G107" s="11">
        <v>46299.000009837961</v>
      </c>
      <c r="H107" s="11">
        <v>46320.000009837961</v>
      </c>
      <c r="I107" s="6" t="s">
        <v>90</v>
      </c>
      <c r="J107" s="6" t="b">
        <f>IF(AND(H107&lt;Config!$B$2,I107&lt;&gt;"Approved / IFI"),TRUE,FALSE)</f>
        <v>0</v>
      </c>
      <c r="K107" s="6" t="str">
        <f t="shared" si="1"/>
        <v>In Progress</v>
      </c>
    </row>
    <row r="108" spans="1:11" x14ac:dyDescent="0.25">
      <c r="A108" s="6" t="s">
        <v>619</v>
      </c>
      <c r="B108" s="6" t="s">
        <v>164</v>
      </c>
      <c r="C108" s="6" t="s">
        <v>620</v>
      </c>
      <c r="D108" s="6" t="s">
        <v>55</v>
      </c>
      <c r="E108" s="6" t="s">
        <v>308</v>
      </c>
      <c r="F108" s="6">
        <v>3</v>
      </c>
      <c r="G108" s="11">
        <v>46197.000009837961</v>
      </c>
      <c r="H108" s="11">
        <v>46239.000009837961</v>
      </c>
      <c r="I108" s="6" t="s">
        <v>93</v>
      </c>
      <c r="J108" s="6" t="b">
        <f>IF(AND(H108&lt;Config!$B$2,I108&lt;&gt;"Approved / IFI"),TRUE,FALSE)</f>
        <v>1</v>
      </c>
      <c r="K108" s="6" t="str">
        <f t="shared" si="1"/>
        <v>Overdue</v>
      </c>
    </row>
    <row r="109" spans="1:11" x14ac:dyDescent="0.25">
      <c r="A109" s="6" t="s">
        <v>621</v>
      </c>
      <c r="B109" s="6" t="s">
        <v>164</v>
      </c>
      <c r="C109" s="6" t="s">
        <v>511</v>
      </c>
      <c r="D109" s="6" t="s">
        <v>54</v>
      </c>
      <c r="E109" s="6" t="s">
        <v>321</v>
      </c>
      <c r="F109" s="6">
        <v>4</v>
      </c>
      <c r="G109" s="11">
        <v>46257.000009837961</v>
      </c>
      <c r="H109" s="11">
        <v>46282.000009837961</v>
      </c>
      <c r="I109" s="6" t="s">
        <v>90</v>
      </c>
      <c r="J109" s="6" t="b">
        <f>IF(AND(H109&lt;Config!$B$2,I109&lt;&gt;"Approved / IFI"),TRUE,FALSE)</f>
        <v>0</v>
      </c>
      <c r="K109" s="6" t="str">
        <f t="shared" si="1"/>
        <v>In Progress</v>
      </c>
    </row>
    <row r="110" spans="1:11" x14ac:dyDescent="0.25">
      <c r="A110" s="6" t="s">
        <v>622</v>
      </c>
      <c r="B110" s="6" t="s">
        <v>164</v>
      </c>
      <c r="C110" s="6" t="s">
        <v>484</v>
      </c>
      <c r="D110" s="6" t="s">
        <v>52</v>
      </c>
      <c r="E110" s="6" t="s">
        <v>304</v>
      </c>
      <c r="F110" s="6">
        <v>3</v>
      </c>
      <c r="G110" s="11">
        <v>46231.000009837961</v>
      </c>
      <c r="H110" s="11">
        <v>46252.000009837961</v>
      </c>
      <c r="I110" s="6" t="s">
        <v>92</v>
      </c>
      <c r="J110" s="6" t="b">
        <f>IF(AND(H110&lt;Config!$B$2,I110&lt;&gt;"Approved / IFI"),TRUE,FALSE)</f>
        <v>0</v>
      </c>
      <c r="K110" s="6" t="str">
        <f t="shared" si="1"/>
        <v>In Review</v>
      </c>
    </row>
    <row r="111" spans="1:11" x14ac:dyDescent="0.25">
      <c r="A111" s="6" t="s">
        <v>623</v>
      </c>
      <c r="B111" s="6" t="s">
        <v>164</v>
      </c>
      <c r="C111" s="6" t="s">
        <v>624</v>
      </c>
      <c r="D111" s="6" t="s">
        <v>54</v>
      </c>
      <c r="E111" s="6" t="s">
        <v>284</v>
      </c>
      <c r="F111" s="6">
        <v>3</v>
      </c>
      <c r="G111" s="11">
        <v>46204.000009837961</v>
      </c>
      <c r="H111" s="11">
        <v>46236.000009837961</v>
      </c>
      <c r="I111" s="6" t="s">
        <v>90</v>
      </c>
      <c r="J111" s="6" t="b">
        <f>IF(AND(H111&lt;Config!$B$2,I111&lt;&gt;"Approved / IFI"),TRUE,FALSE)</f>
        <v>1</v>
      </c>
      <c r="K111" s="6" t="str">
        <f t="shared" si="1"/>
        <v>Overdue</v>
      </c>
    </row>
    <row r="112" spans="1:11" x14ac:dyDescent="0.25">
      <c r="A112" s="6" t="s">
        <v>625</v>
      </c>
      <c r="B112" s="6" t="s">
        <v>164</v>
      </c>
      <c r="C112" s="6" t="s">
        <v>581</v>
      </c>
      <c r="D112" s="6" t="s">
        <v>54</v>
      </c>
      <c r="E112" s="6" t="s">
        <v>201</v>
      </c>
      <c r="F112" s="6">
        <v>2</v>
      </c>
      <c r="G112" s="11">
        <v>46258.000009837961</v>
      </c>
      <c r="H112" s="11">
        <v>46289.000009837961</v>
      </c>
      <c r="I112" s="6" t="s">
        <v>90</v>
      </c>
      <c r="J112" s="6" t="b">
        <f>IF(AND(H112&lt;Config!$B$2,I112&lt;&gt;"Approved / IFI"),TRUE,FALSE)</f>
        <v>0</v>
      </c>
      <c r="K112" s="6" t="str">
        <f t="shared" si="1"/>
        <v>In Progress</v>
      </c>
    </row>
    <row r="113" spans="1:11" x14ac:dyDescent="0.25">
      <c r="A113" s="6" t="s">
        <v>626</v>
      </c>
      <c r="B113" s="6" t="s">
        <v>164</v>
      </c>
      <c r="C113" s="6" t="s">
        <v>571</v>
      </c>
      <c r="D113" s="6" t="s">
        <v>51</v>
      </c>
      <c r="E113" s="6" t="s">
        <v>274</v>
      </c>
      <c r="F113" s="6">
        <v>4</v>
      </c>
      <c r="G113" s="11">
        <v>46250.000009837961</v>
      </c>
      <c r="H113" s="11">
        <v>46283.000009837961</v>
      </c>
      <c r="I113" s="6" t="s">
        <v>92</v>
      </c>
      <c r="J113" s="6" t="b">
        <f>IF(AND(H113&lt;Config!$B$2,I113&lt;&gt;"Approved / IFI"),TRUE,FALSE)</f>
        <v>0</v>
      </c>
      <c r="K113" s="6" t="str">
        <f t="shared" si="1"/>
        <v>In Review</v>
      </c>
    </row>
    <row r="114" spans="1:11" x14ac:dyDescent="0.25">
      <c r="A114" s="6" t="s">
        <v>627</v>
      </c>
      <c r="B114" s="6" t="s">
        <v>164</v>
      </c>
      <c r="C114" s="6" t="s">
        <v>628</v>
      </c>
      <c r="D114" s="6" t="s">
        <v>54</v>
      </c>
      <c r="E114" s="6" t="s">
        <v>321</v>
      </c>
      <c r="F114" s="6">
        <v>1</v>
      </c>
      <c r="G114" s="11">
        <v>46248.000009837961</v>
      </c>
      <c r="H114" s="11">
        <v>46284.000009837961</v>
      </c>
      <c r="I114" s="6" t="s">
        <v>90</v>
      </c>
      <c r="J114" s="6" t="b">
        <f>IF(AND(H114&lt;Config!$B$2,I114&lt;&gt;"Approved / IFI"),TRUE,FALSE)</f>
        <v>0</v>
      </c>
      <c r="K114" s="6" t="str">
        <f t="shared" si="1"/>
        <v>In Progress</v>
      </c>
    </row>
    <row r="115" spans="1:11" x14ac:dyDescent="0.25">
      <c r="A115" s="6" t="s">
        <v>629</v>
      </c>
      <c r="B115" s="6" t="s">
        <v>164</v>
      </c>
      <c r="C115" s="6" t="s">
        <v>484</v>
      </c>
      <c r="D115" s="6" t="s">
        <v>52</v>
      </c>
      <c r="E115" s="6" t="s">
        <v>306</v>
      </c>
      <c r="F115" s="6">
        <v>1</v>
      </c>
      <c r="G115" s="11">
        <v>46243.000009837961</v>
      </c>
      <c r="H115" s="11">
        <v>46259.000009837961</v>
      </c>
      <c r="I115" s="6" t="s">
        <v>93</v>
      </c>
      <c r="J115" s="6" t="b">
        <f>IF(AND(H115&lt;Config!$B$2,I115&lt;&gt;"Approved / IFI"),TRUE,FALSE)</f>
        <v>0</v>
      </c>
      <c r="K115" s="6" t="str">
        <f t="shared" si="1"/>
        <v>Revise</v>
      </c>
    </row>
    <row r="116" spans="1:11" x14ac:dyDescent="0.25">
      <c r="A116" s="6" t="s">
        <v>630</v>
      </c>
      <c r="B116" s="6" t="s">
        <v>164</v>
      </c>
      <c r="C116" s="6" t="s">
        <v>631</v>
      </c>
      <c r="D116" s="6" t="s">
        <v>50</v>
      </c>
      <c r="E116" s="6" t="s">
        <v>150</v>
      </c>
      <c r="F116" s="6">
        <v>1</v>
      </c>
      <c r="G116" s="11">
        <v>46223.000009837961</v>
      </c>
      <c r="H116" s="11">
        <v>46260.000009837961</v>
      </c>
      <c r="I116" s="6" t="s">
        <v>91</v>
      </c>
      <c r="J116" s="6" t="b">
        <f>IF(AND(H116&lt;Config!$B$2,I116&lt;&gt;"Approved / IFI"),TRUE,FALSE)</f>
        <v>0</v>
      </c>
      <c r="K116" s="6" t="str">
        <f t="shared" si="1"/>
        <v>In Review</v>
      </c>
    </row>
    <row r="117" spans="1:11" x14ac:dyDescent="0.25">
      <c r="A117" s="6" t="s">
        <v>632</v>
      </c>
      <c r="B117" s="6" t="s">
        <v>164</v>
      </c>
      <c r="C117" s="6" t="s">
        <v>531</v>
      </c>
      <c r="D117" s="6" t="s">
        <v>53</v>
      </c>
      <c r="E117" s="6" t="s">
        <v>287</v>
      </c>
      <c r="F117" s="6">
        <v>4</v>
      </c>
      <c r="G117" s="11">
        <v>46279.000009837961</v>
      </c>
      <c r="H117" s="11">
        <v>46297.000009837961</v>
      </c>
      <c r="I117" s="6" t="s">
        <v>91</v>
      </c>
      <c r="J117" s="6" t="b">
        <f>IF(AND(H117&lt;Config!$B$2,I117&lt;&gt;"Approved / IFI"),TRUE,FALSE)</f>
        <v>0</v>
      </c>
      <c r="K117" s="6" t="str">
        <f t="shared" si="1"/>
        <v>In Review</v>
      </c>
    </row>
    <row r="118" spans="1:11" x14ac:dyDescent="0.25">
      <c r="A118" s="6" t="s">
        <v>633</v>
      </c>
      <c r="B118" s="6" t="s">
        <v>164</v>
      </c>
      <c r="C118" s="6" t="s">
        <v>531</v>
      </c>
      <c r="D118" s="6" t="s">
        <v>53</v>
      </c>
      <c r="E118" s="6" t="s">
        <v>168</v>
      </c>
      <c r="F118" s="6">
        <v>0</v>
      </c>
      <c r="G118" s="11">
        <v>46277.000009837961</v>
      </c>
      <c r="H118" s="11">
        <v>46308.000009837961</v>
      </c>
      <c r="I118" s="6" t="s">
        <v>91</v>
      </c>
      <c r="J118" s="6" t="b">
        <f>IF(AND(H118&lt;Config!$B$2,I118&lt;&gt;"Approved / IFI"),TRUE,FALSE)</f>
        <v>0</v>
      </c>
      <c r="K118" s="6" t="str">
        <f t="shared" si="1"/>
        <v>In Review</v>
      </c>
    </row>
    <row r="119" spans="1:11" x14ac:dyDescent="0.25">
      <c r="A119" s="6" t="s">
        <v>634</v>
      </c>
      <c r="B119" s="6" t="s">
        <v>164</v>
      </c>
      <c r="C119" s="6" t="s">
        <v>635</v>
      </c>
      <c r="D119" s="6" t="s">
        <v>55</v>
      </c>
      <c r="E119" s="6" t="s">
        <v>308</v>
      </c>
      <c r="F119" s="6">
        <v>0</v>
      </c>
      <c r="G119" s="11">
        <v>46251.000009837961</v>
      </c>
      <c r="H119" s="11">
        <v>46273.000009837961</v>
      </c>
      <c r="I119" s="6" t="s">
        <v>91</v>
      </c>
      <c r="J119" s="6" t="b">
        <f>IF(AND(H119&lt;Config!$B$2,I119&lt;&gt;"Approved / IFI"),TRUE,FALSE)</f>
        <v>0</v>
      </c>
      <c r="K119" s="6" t="str">
        <f t="shared" si="1"/>
        <v>In Review</v>
      </c>
    </row>
    <row r="120" spans="1:11" x14ac:dyDescent="0.25">
      <c r="A120" s="6" t="s">
        <v>636</v>
      </c>
      <c r="B120" s="6" t="s">
        <v>170</v>
      </c>
      <c r="C120" s="6" t="s">
        <v>504</v>
      </c>
      <c r="D120" s="6" t="s">
        <v>50</v>
      </c>
      <c r="E120" s="6" t="s">
        <v>156</v>
      </c>
      <c r="F120" s="6">
        <v>4</v>
      </c>
      <c r="G120" s="11">
        <v>46084.000009837961</v>
      </c>
      <c r="H120" s="11">
        <v>46116.000009837961</v>
      </c>
      <c r="I120" s="6" t="s">
        <v>94</v>
      </c>
      <c r="J120" s="6" t="b">
        <f>IF(AND(H120&lt;Config!$B$2,I120&lt;&gt;"Approved / IFI"),TRUE,FALSE)</f>
        <v>0</v>
      </c>
      <c r="K120" s="6" t="str">
        <f t="shared" si="1"/>
        <v>Complete</v>
      </c>
    </row>
    <row r="121" spans="1:11" x14ac:dyDescent="0.25">
      <c r="A121" s="6" t="s">
        <v>637</v>
      </c>
      <c r="B121" s="6" t="s">
        <v>170</v>
      </c>
      <c r="C121" s="6" t="s">
        <v>638</v>
      </c>
      <c r="D121" s="6" t="s">
        <v>50</v>
      </c>
      <c r="E121" s="6" t="s">
        <v>300</v>
      </c>
      <c r="F121" s="6">
        <v>4</v>
      </c>
      <c r="G121" s="11">
        <v>46151.000009837961</v>
      </c>
      <c r="H121" s="11">
        <v>46178.000009837961</v>
      </c>
      <c r="I121" s="6" t="s">
        <v>94</v>
      </c>
      <c r="J121" s="6" t="b">
        <f>IF(AND(H121&lt;Config!$B$2,I121&lt;&gt;"Approved / IFI"),TRUE,FALSE)</f>
        <v>0</v>
      </c>
      <c r="K121" s="6" t="str">
        <f t="shared" si="1"/>
        <v>Complete</v>
      </c>
    </row>
    <row r="122" spans="1:11" x14ac:dyDescent="0.25">
      <c r="A122" s="6" t="s">
        <v>639</v>
      </c>
      <c r="B122" s="6" t="s">
        <v>170</v>
      </c>
      <c r="C122" s="6" t="s">
        <v>640</v>
      </c>
      <c r="D122" s="6" t="s">
        <v>55</v>
      </c>
      <c r="E122" s="6" t="s">
        <v>193</v>
      </c>
      <c r="F122" s="6">
        <v>4</v>
      </c>
      <c r="G122" s="11">
        <v>46043.000009837961</v>
      </c>
      <c r="H122" s="11">
        <v>46058.000009837961</v>
      </c>
      <c r="I122" s="6" t="s">
        <v>94</v>
      </c>
      <c r="J122" s="6" t="b">
        <f>IF(AND(H122&lt;Config!$B$2,I122&lt;&gt;"Approved / IFI"),TRUE,FALSE)</f>
        <v>0</v>
      </c>
      <c r="K122" s="6" t="str">
        <f t="shared" si="1"/>
        <v>Complete</v>
      </c>
    </row>
    <row r="123" spans="1:11" x14ac:dyDescent="0.25">
      <c r="A123" s="6" t="s">
        <v>641</v>
      </c>
      <c r="B123" s="6" t="s">
        <v>170</v>
      </c>
      <c r="C123" s="6" t="s">
        <v>642</v>
      </c>
      <c r="D123" s="6" t="s">
        <v>54</v>
      </c>
      <c r="E123" s="6" t="s">
        <v>144</v>
      </c>
      <c r="F123" s="6">
        <v>2</v>
      </c>
      <c r="G123" s="11">
        <v>46039.000009837961</v>
      </c>
      <c r="H123" s="11">
        <v>46056.000009837961</v>
      </c>
      <c r="I123" s="6" t="s">
        <v>94</v>
      </c>
      <c r="J123" s="6" t="b">
        <f>IF(AND(H123&lt;Config!$B$2,I123&lt;&gt;"Approved / IFI"),TRUE,FALSE)</f>
        <v>0</v>
      </c>
      <c r="K123" s="6" t="str">
        <f t="shared" si="1"/>
        <v>Complete</v>
      </c>
    </row>
    <row r="124" spans="1:11" x14ac:dyDescent="0.25">
      <c r="A124" s="6" t="s">
        <v>643</v>
      </c>
      <c r="B124" s="6" t="s">
        <v>170</v>
      </c>
      <c r="C124" s="6" t="s">
        <v>644</v>
      </c>
      <c r="D124" s="6" t="s">
        <v>50</v>
      </c>
      <c r="E124" s="6" t="s">
        <v>296</v>
      </c>
      <c r="F124" s="6">
        <v>1</v>
      </c>
      <c r="G124" s="11">
        <v>46102.000009837961</v>
      </c>
      <c r="H124" s="11">
        <v>46138.000009837961</v>
      </c>
      <c r="I124" s="6" t="s">
        <v>94</v>
      </c>
      <c r="J124" s="6" t="b">
        <f>IF(AND(H124&lt;Config!$B$2,I124&lt;&gt;"Approved / IFI"),TRUE,FALSE)</f>
        <v>0</v>
      </c>
      <c r="K124" s="6" t="str">
        <f t="shared" si="1"/>
        <v>Complete</v>
      </c>
    </row>
    <row r="125" spans="1:11" x14ac:dyDescent="0.25">
      <c r="A125" s="6" t="s">
        <v>645</v>
      </c>
      <c r="B125" s="6" t="s">
        <v>170</v>
      </c>
      <c r="C125" s="6" t="s">
        <v>646</v>
      </c>
      <c r="D125" s="6" t="s">
        <v>55</v>
      </c>
      <c r="E125" s="6" t="s">
        <v>193</v>
      </c>
      <c r="F125" s="6">
        <v>2</v>
      </c>
      <c r="G125" s="11">
        <v>46136.000009837961</v>
      </c>
      <c r="H125" s="11">
        <v>46171.000009837961</v>
      </c>
      <c r="I125" s="6" t="s">
        <v>94</v>
      </c>
      <c r="J125" s="6" t="b">
        <f>IF(AND(H125&lt;Config!$B$2,I125&lt;&gt;"Approved / IFI"),TRUE,FALSE)</f>
        <v>0</v>
      </c>
      <c r="K125" s="6" t="str">
        <f t="shared" si="1"/>
        <v>Complete</v>
      </c>
    </row>
    <row r="126" spans="1:11" x14ac:dyDescent="0.25">
      <c r="A126" s="6" t="s">
        <v>647</v>
      </c>
      <c r="B126" s="6" t="s">
        <v>170</v>
      </c>
      <c r="C126" s="6" t="s">
        <v>525</v>
      </c>
      <c r="D126" s="6" t="s">
        <v>54</v>
      </c>
      <c r="E126" s="6" t="s">
        <v>201</v>
      </c>
      <c r="F126" s="6">
        <v>0</v>
      </c>
      <c r="G126" s="11">
        <v>46037.000009837961</v>
      </c>
      <c r="H126" s="11">
        <v>46074.000009837961</v>
      </c>
      <c r="I126" s="6" t="s">
        <v>94</v>
      </c>
      <c r="J126" s="6" t="b">
        <f>IF(AND(H126&lt;Config!$B$2,I126&lt;&gt;"Approved / IFI"),TRUE,FALSE)</f>
        <v>0</v>
      </c>
      <c r="K126" s="6" t="str">
        <f t="shared" si="1"/>
        <v>Complete</v>
      </c>
    </row>
    <row r="127" spans="1:11" x14ac:dyDescent="0.25">
      <c r="A127" s="6" t="s">
        <v>648</v>
      </c>
      <c r="B127" s="6" t="s">
        <v>170</v>
      </c>
      <c r="C127" s="6" t="s">
        <v>649</v>
      </c>
      <c r="D127" s="6" t="s">
        <v>53</v>
      </c>
      <c r="E127" s="6" t="s">
        <v>287</v>
      </c>
      <c r="F127" s="6">
        <v>2</v>
      </c>
      <c r="G127" s="11">
        <v>46136.000009837961</v>
      </c>
      <c r="H127" s="11">
        <v>46158.000009837961</v>
      </c>
      <c r="I127" s="6" t="s">
        <v>94</v>
      </c>
      <c r="J127" s="6" t="b">
        <f>IF(AND(H127&lt;Config!$B$2,I127&lt;&gt;"Approved / IFI"),TRUE,FALSE)</f>
        <v>0</v>
      </c>
      <c r="K127" s="6" t="str">
        <f t="shared" si="1"/>
        <v>Complete</v>
      </c>
    </row>
    <row r="128" spans="1:11" x14ac:dyDescent="0.25">
      <c r="A128" s="6" t="s">
        <v>650</v>
      </c>
      <c r="B128" s="6" t="s">
        <v>170</v>
      </c>
      <c r="C128" s="6" t="s">
        <v>453</v>
      </c>
      <c r="D128" s="6" t="s">
        <v>52</v>
      </c>
      <c r="E128" s="6" t="s">
        <v>302</v>
      </c>
      <c r="F128" s="6">
        <v>2</v>
      </c>
      <c r="G128" s="11">
        <v>46050.000009837961</v>
      </c>
      <c r="H128" s="11">
        <v>46068.000009837961</v>
      </c>
      <c r="I128" s="6" t="s">
        <v>94</v>
      </c>
      <c r="J128" s="6" t="b">
        <f>IF(AND(H128&lt;Config!$B$2,I128&lt;&gt;"Approved / IFI"),TRUE,FALSE)</f>
        <v>0</v>
      </c>
      <c r="K128" s="6" t="str">
        <f t="shared" si="1"/>
        <v>Complete</v>
      </c>
    </row>
    <row r="129" spans="1:11" x14ac:dyDescent="0.25">
      <c r="A129" s="6" t="s">
        <v>651</v>
      </c>
      <c r="B129" s="6" t="s">
        <v>170</v>
      </c>
      <c r="C129" s="6" t="s">
        <v>652</v>
      </c>
      <c r="D129" s="6" t="s">
        <v>50</v>
      </c>
      <c r="E129" s="6" t="s">
        <v>156</v>
      </c>
      <c r="F129" s="6">
        <v>1</v>
      </c>
      <c r="G129" s="11">
        <v>46111.000009837961</v>
      </c>
      <c r="H129" s="11">
        <v>46145.000009837961</v>
      </c>
      <c r="I129" s="6" t="s">
        <v>94</v>
      </c>
      <c r="J129" s="6" t="b">
        <f>IF(AND(H129&lt;Config!$B$2,I129&lt;&gt;"Approved / IFI"),TRUE,FALSE)</f>
        <v>0</v>
      </c>
      <c r="K129" s="6" t="str">
        <f t="shared" si="1"/>
        <v>Complete</v>
      </c>
    </row>
    <row r="130" spans="1:11" x14ac:dyDescent="0.25">
      <c r="A130" s="6" t="s">
        <v>653</v>
      </c>
      <c r="B130" s="6" t="s">
        <v>170</v>
      </c>
      <c r="C130" s="6" t="s">
        <v>484</v>
      </c>
      <c r="D130" s="6" t="s">
        <v>52</v>
      </c>
      <c r="E130" s="6" t="s">
        <v>304</v>
      </c>
      <c r="F130" s="6">
        <v>3</v>
      </c>
      <c r="G130" s="11">
        <v>46137.000009837961</v>
      </c>
      <c r="H130" s="11">
        <v>46157.000009837961</v>
      </c>
      <c r="I130" s="6" t="s">
        <v>94</v>
      </c>
      <c r="J130" s="6" t="b">
        <f>IF(AND(H130&lt;Config!$B$2,I130&lt;&gt;"Approved / IFI"),TRUE,FALSE)</f>
        <v>0</v>
      </c>
      <c r="K130" s="6" t="str">
        <f t="shared" ref="K130:K193" si="2">IF(J130=TRUE,"Overdue",IF(I130="Approved / IFI","Complete",IF(I130="Internal Development","In Progress",IF(I130="Revise &amp; Resubmit","Revise","In Review"))))</f>
        <v>Complete</v>
      </c>
    </row>
    <row r="131" spans="1:11" x14ac:dyDescent="0.25">
      <c r="A131" s="6" t="s">
        <v>654</v>
      </c>
      <c r="B131" s="6" t="s">
        <v>170</v>
      </c>
      <c r="C131" s="6" t="s">
        <v>562</v>
      </c>
      <c r="D131" s="6" t="s">
        <v>50</v>
      </c>
      <c r="E131" s="6" t="s">
        <v>137</v>
      </c>
      <c r="F131" s="6">
        <v>4</v>
      </c>
      <c r="G131" s="11">
        <v>46064.000009837961</v>
      </c>
      <c r="H131" s="11">
        <v>46087.000009837961</v>
      </c>
      <c r="I131" s="6" t="s">
        <v>94</v>
      </c>
      <c r="J131" s="6" t="b">
        <f>IF(AND(H131&lt;Config!$B$2,I131&lt;&gt;"Approved / IFI"),TRUE,FALSE)</f>
        <v>0</v>
      </c>
      <c r="K131" s="6" t="str">
        <f t="shared" si="2"/>
        <v>Complete</v>
      </c>
    </row>
    <row r="132" spans="1:11" x14ac:dyDescent="0.25">
      <c r="A132" s="6" t="s">
        <v>655</v>
      </c>
      <c r="B132" s="6" t="s">
        <v>170</v>
      </c>
      <c r="C132" s="6" t="s">
        <v>484</v>
      </c>
      <c r="D132" s="6" t="s">
        <v>52</v>
      </c>
      <c r="E132" s="6" t="s">
        <v>306</v>
      </c>
      <c r="F132" s="6">
        <v>0</v>
      </c>
      <c r="G132" s="11">
        <v>46176.000009837961</v>
      </c>
      <c r="H132" s="11">
        <v>46187.000009837961</v>
      </c>
      <c r="I132" s="6" t="s">
        <v>94</v>
      </c>
      <c r="J132" s="6" t="b">
        <f>IF(AND(H132&lt;Config!$B$2,I132&lt;&gt;"Approved / IFI"),TRUE,FALSE)</f>
        <v>0</v>
      </c>
      <c r="K132" s="6" t="str">
        <f t="shared" si="2"/>
        <v>Complete</v>
      </c>
    </row>
    <row r="133" spans="1:11" x14ac:dyDescent="0.25">
      <c r="A133" s="6" t="s">
        <v>656</v>
      </c>
      <c r="B133" s="6" t="s">
        <v>170</v>
      </c>
      <c r="C133" s="6" t="s">
        <v>504</v>
      </c>
      <c r="D133" s="6" t="s">
        <v>50</v>
      </c>
      <c r="E133" s="6" t="s">
        <v>156</v>
      </c>
      <c r="F133" s="6">
        <v>0</v>
      </c>
      <c r="G133" s="11">
        <v>46202.000009837961</v>
      </c>
      <c r="H133" s="11">
        <v>46236.000009837961</v>
      </c>
      <c r="I133" s="6" t="s">
        <v>94</v>
      </c>
      <c r="J133" s="6" t="b">
        <f>IF(AND(H133&lt;Config!$B$2,I133&lt;&gt;"Approved / IFI"),TRUE,FALSE)</f>
        <v>0</v>
      </c>
      <c r="K133" s="6" t="str">
        <f t="shared" si="2"/>
        <v>Complete</v>
      </c>
    </row>
    <row r="134" spans="1:11" x14ac:dyDescent="0.25">
      <c r="A134" s="6" t="s">
        <v>657</v>
      </c>
      <c r="B134" s="6" t="s">
        <v>170</v>
      </c>
      <c r="C134" s="6" t="s">
        <v>658</v>
      </c>
      <c r="D134" s="6" t="s">
        <v>51</v>
      </c>
      <c r="E134" s="6" t="s">
        <v>274</v>
      </c>
      <c r="F134" s="6">
        <v>4</v>
      </c>
      <c r="G134" s="11">
        <v>46197.000009837961</v>
      </c>
      <c r="H134" s="11">
        <v>46209.000009837961</v>
      </c>
      <c r="I134" s="6" t="s">
        <v>94</v>
      </c>
      <c r="J134" s="6" t="b">
        <f>IF(AND(H134&lt;Config!$B$2,I134&lt;&gt;"Approved / IFI"),TRUE,FALSE)</f>
        <v>0</v>
      </c>
      <c r="K134" s="6" t="str">
        <f t="shared" si="2"/>
        <v>Complete</v>
      </c>
    </row>
    <row r="135" spans="1:11" x14ac:dyDescent="0.25">
      <c r="A135" s="6" t="s">
        <v>659</v>
      </c>
      <c r="B135" s="6" t="s">
        <v>170</v>
      </c>
      <c r="C135" s="6" t="s">
        <v>660</v>
      </c>
      <c r="D135" s="6" t="s">
        <v>52</v>
      </c>
      <c r="E135" s="6" t="s">
        <v>304</v>
      </c>
      <c r="F135" s="6">
        <v>3</v>
      </c>
      <c r="G135" s="11">
        <v>46243.000009837961</v>
      </c>
      <c r="H135" s="11">
        <v>46282.000009837961</v>
      </c>
      <c r="I135" s="6" t="s">
        <v>90</v>
      </c>
      <c r="J135" s="6" t="b">
        <f>IF(AND(H135&lt;Config!$B$2,I135&lt;&gt;"Approved / IFI"),TRUE,FALSE)</f>
        <v>0</v>
      </c>
      <c r="K135" s="6" t="str">
        <f t="shared" si="2"/>
        <v>In Progress</v>
      </c>
    </row>
    <row r="136" spans="1:11" x14ac:dyDescent="0.25">
      <c r="A136" s="6" t="s">
        <v>661</v>
      </c>
      <c r="B136" s="6" t="s">
        <v>174</v>
      </c>
      <c r="C136" s="6" t="s">
        <v>541</v>
      </c>
      <c r="D136" s="6" t="s">
        <v>51</v>
      </c>
      <c r="E136" s="6" t="s">
        <v>276</v>
      </c>
      <c r="F136" s="6">
        <v>4</v>
      </c>
      <c r="G136" s="11">
        <v>46154.000009837961</v>
      </c>
      <c r="H136" s="11">
        <v>46185.000009837961</v>
      </c>
      <c r="I136" s="6" t="s">
        <v>94</v>
      </c>
      <c r="J136" s="6" t="b">
        <f>IF(AND(H136&lt;Config!$B$2,I136&lt;&gt;"Approved / IFI"),TRUE,FALSE)</f>
        <v>0</v>
      </c>
      <c r="K136" s="6" t="str">
        <f t="shared" si="2"/>
        <v>Complete</v>
      </c>
    </row>
    <row r="137" spans="1:11" x14ac:dyDescent="0.25">
      <c r="A137" s="6" t="s">
        <v>662</v>
      </c>
      <c r="B137" s="6" t="s">
        <v>174</v>
      </c>
      <c r="C137" s="6" t="s">
        <v>646</v>
      </c>
      <c r="D137" s="6" t="s">
        <v>55</v>
      </c>
      <c r="E137" s="6" t="s">
        <v>308</v>
      </c>
      <c r="F137" s="6">
        <v>3</v>
      </c>
      <c r="G137" s="11">
        <v>46205.000009837961</v>
      </c>
      <c r="H137" s="11">
        <v>46226.000009837961</v>
      </c>
      <c r="I137" s="6" t="s">
        <v>94</v>
      </c>
      <c r="J137" s="6" t="b">
        <f>IF(AND(H137&lt;Config!$B$2,I137&lt;&gt;"Approved / IFI"),TRUE,FALSE)</f>
        <v>0</v>
      </c>
      <c r="K137" s="6" t="str">
        <f t="shared" si="2"/>
        <v>Complete</v>
      </c>
    </row>
    <row r="138" spans="1:11" x14ac:dyDescent="0.25">
      <c r="A138" s="6" t="s">
        <v>663</v>
      </c>
      <c r="B138" s="6" t="s">
        <v>174</v>
      </c>
      <c r="C138" s="6" t="s">
        <v>500</v>
      </c>
      <c r="D138" s="6" t="s">
        <v>50</v>
      </c>
      <c r="E138" s="6" t="s">
        <v>156</v>
      </c>
      <c r="F138" s="6">
        <v>2</v>
      </c>
      <c r="G138" s="11">
        <v>46058.000009837961</v>
      </c>
      <c r="H138" s="11">
        <v>46082.000009837961</v>
      </c>
      <c r="I138" s="6" t="s">
        <v>94</v>
      </c>
      <c r="J138" s="6" t="b">
        <f>IF(AND(H138&lt;Config!$B$2,I138&lt;&gt;"Approved / IFI"),TRUE,FALSE)</f>
        <v>0</v>
      </c>
      <c r="K138" s="6" t="str">
        <f t="shared" si="2"/>
        <v>Complete</v>
      </c>
    </row>
    <row r="139" spans="1:11" x14ac:dyDescent="0.25">
      <c r="A139" s="6" t="s">
        <v>664</v>
      </c>
      <c r="B139" s="6" t="s">
        <v>174</v>
      </c>
      <c r="C139" s="6" t="s">
        <v>504</v>
      </c>
      <c r="D139" s="6" t="s">
        <v>50</v>
      </c>
      <c r="E139" s="6" t="s">
        <v>300</v>
      </c>
      <c r="F139" s="6">
        <v>3</v>
      </c>
      <c r="G139" s="11">
        <v>46035.000009837961</v>
      </c>
      <c r="H139" s="11">
        <v>46058.000009837961</v>
      </c>
      <c r="I139" s="6" t="s">
        <v>94</v>
      </c>
      <c r="J139" s="6" t="b">
        <f>IF(AND(H139&lt;Config!$B$2,I139&lt;&gt;"Approved / IFI"),TRUE,FALSE)</f>
        <v>0</v>
      </c>
      <c r="K139" s="6" t="str">
        <f t="shared" si="2"/>
        <v>Complete</v>
      </c>
    </row>
    <row r="140" spans="1:11" x14ac:dyDescent="0.25">
      <c r="A140" s="6" t="s">
        <v>665</v>
      </c>
      <c r="B140" s="6" t="s">
        <v>174</v>
      </c>
      <c r="C140" s="6" t="s">
        <v>453</v>
      </c>
      <c r="D140" s="6" t="s">
        <v>52</v>
      </c>
      <c r="E140" s="6" t="s">
        <v>304</v>
      </c>
      <c r="F140" s="6">
        <v>4</v>
      </c>
      <c r="G140" s="11">
        <v>46131.000009837961</v>
      </c>
      <c r="H140" s="11">
        <v>46163.000009837961</v>
      </c>
      <c r="I140" s="6" t="s">
        <v>94</v>
      </c>
      <c r="J140" s="6" t="b">
        <f>IF(AND(H140&lt;Config!$B$2,I140&lt;&gt;"Approved / IFI"),TRUE,FALSE)</f>
        <v>0</v>
      </c>
      <c r="K140" s="6" t="str">
        <f t="shared" si="2"/>
        <v>Complete</v>
      </c>
    </row>
    <row r="141" spans="1:11" x14ac:dyDescent="0.25">
      <c r="A141" s="6" t="s">
        <v>666</v>
      </c>
      <c r="B141" s="6" t="s">
        <v>174</v>
      </c>
      <c r="C141" s="6" t="s">
        <v>493</v>
      </c>
      <c r="D141" s="6" t="s">
        <v>54</v>
      </c>
      <c r="E141" s="6" t="s">
        <v>144</v>
      </c>
      <c r="F141" s="6">
        <v>1</v>
      </c>
      <c r="G141" s="11">
        <v>46045.000009837961</v>
      </c>
      <c r="H141" s="11">
        <v>46068.000009837961</v>
      </c>
      <c r="I141" s="6" t="s">
        <v>94</v>
      </c>
      <c r="J141" s="6" t="b">
        <f>IF(AND(H141&lt;Config!$B$2,I141&lt;&gt;"Approved / IFI"),TRUE,FALSE)</f>
        <v>0</v>
      </c>
      <c r="K141" s="6" t="str">
        <f t="shared" si="2"/>
        <v>Complete</v>
      </c>
    </row>
    <row r="142" spans="1:11" x14ac:dyDescent="0.25">
      <c r="A142" s="6" t="s">
        <v>667</v>
      </c>
      <c r="B142" s="6" t="s">
        <v>174</v>
      </c>
      <c r="C142" s="6" t="s">
        <v>463</v>
      </c>
      <c r="D142" s="6" t="s">
        <v>54</v>
      </c>
      <c r="E142" s="6" t="s">
        <v>284</v>
      </c>
      <c r="F142" s="6">
        <v>1</v>
      </c>
      <c r="G142" s="11">
        <v>46069.000009837961</v>
      </c>
      <c r="H142" s="11">
        <v>46083.000009837961</v>
      </c>
      <c r="I142" s="6" t="s">
        <v>94</v>
      </c>
      <c r="J142" s="6" t="b">
        <f>IF(AND(H142&lt;Config!$B$2,I142&lt;&gt;"Approved / IFI"),TRUE,FALSE)</f>
        <v>0</v>
      </c>
      <c r="K142" s="6" t="str">
        <f t="shared" si="2"/>
        <v>Complete</v>
      </c>
    </row>
    <row r="143" spans="1:11" x14ac:dyDescent="0.25">
      <c r="A143" s="6" t="s">
        <v>668</v>
      </c>
      <c r="B143" s="6" t="s">
        <v>174</v>
      </c>
      <c r="C143" s="6" t="s">
        <v>463</v>
      </c>
      <c r="D143" s="6" t="s">
        <v>54</v>
      </c>
      <c r="E143" s="6" t="s">
        <v>321</v>
      </c>
      <c r="F143" s="6">
        <v>0</v>
      </c>
      <c r="G143" s="11">
        <v>46148.000009837961</v>
      </c>
      <c r="H143" s="11">
        <v>46168.000009837961</v>
      </c>
      <c r="I143" s="6" t="s">
        <v>94</v>
      </c>
      <c r="J143" s="6" t="b">
        <f>IF(AND(H143&lt;Config!$B$2,I143&lt;&gt;"Approved / IFI"),TRUE,FALSE)</f>
        <v>0</v>
      </c>
      <c r="K143" s="6" t="str">
        <f t="shared" si="2"/>
        <v>Complete</v>
      </c>
    </row>
    <row r="144" spans="1:11" x14ac:dyDescent="0.25">
      <c r="A144" s="6" t="s">
        <v>669</v>
      </c>
      <c r="B144" s="6" t="s">
        <v>174</v>
      </c>
      <c r="C144" s="6" t="s">
        <v>490</v>
      </c>
      <c r="D144" s="6" t="s">
        <v>52</v>
      </c>
      <c r="E144" s="6" t="s">
        <v>183</v>
      </c>
      <c r="F144" s="6">
        <v>2</v>
      </c>
      <c r="G144" s="11">
        <v>46053.000009837961</v>
      </c>
      <c r="H144" s="11">
        <v>46070.000009837961</v>
      </c>
      <c r="I144" s="6" t="s">
        <v>94</v>
      </c>
      <c r="J144" s="6" t="b">
        <f>IF(AND(H144&lt;Config!$B$2,I144&lt;&gt;"Approved / IFI"),TRUE,FALSE)</f>
        <v>0</v>
      </c>
      <c r="K144" s="6" t="str">
        <f t="shared" si="2"/>
        <v>Complete</v>
      </c>
    </row>
    <row r="145" spans="1:11" x14ac:dyDescent="0.25">
      <c r="A145" s="6" t="s">
        <v>670</v>
      </c>
      <c r="B145" s="6" t="s">
        <v>174</v>
      </c>
      <c r="C145" s="6" t="s">
        <v>562</v>
      </c>
      <c r="D145" s="6" t="s">
        <v>50</v>
      </c>
      <c r="E145" s="6" t="s">
        <v>137</v>
      </c>
      <c r="F145" s="6">
        <v>4</v>
      </c>
      <c r="G145" s="11">
        <v>46020.000009837961</v>
      </c>
      <c r="H145" s="11">
        <v>46051.000009837961</v>
      </c>
      <c r="I145" s="6" t="s">
        <v>94</v>
      </c>
      <c r="J145" s="6" t="b">
        <f>IF(AND(H145&lt;Config!$B$2,I145&lt;&gt;"Approved / IFI"),TRUE,FALSE)</f>
        <v>0</v>
      </c>
      <c r="K145" s="6" t="str">
        <f t="shared" si="2"/>
        <v>Complete</v>
      </c>
    </row>
    <row r="146" spans="1:11" x14ac:dyDescent="0.25">
      <c r="A146" s="6" t="s">
        <v>671</v>
      </c>
      <c r="B146" s="6" t="s">
        <v>174</v>
      </c>
      <c r="C146" s="6" t="s">
        <v>562</v>
      </c>
      <c r="D146" s="6" t="s">
        <v>50</v>
      </c>
      <c r="E146" s="6" t="s">
        <v>300</v>
      </c>
      <c r="F146" s="6">
        <v>3</v>
      </c>
      <c r="G146" s="11">
        <v>46213.000009837961</v>
      </c>
      <c r="H146" s="11">
        <v>46239.000009837961</v>
      </c>
      <c r="I146" s="6" t="s">
        <v>94</v>
      </c>
      <c r="J146" s="6" t="b">
        <f>IF(AND(H146&lt;Config!$B$2,I146&lt;&gt;"Approved / IFI"),TRUE,FALSE)</f>
        <v>0</v>
      </c>
      <c r="K146" s="6" t="str">
        <f t="shared" si="2"/>
        <v>Complete</v>
      </c>
    </row>
    <row r="147" spans="1:11" x14ac:dyDescent="0.25">
      <c r="A147" s="6" t="s">
        <v>672</v>
      </c>
      <c r="B147" s="6" t="s">
        <v>174</v>
      </c>
      <c r="C147" s="6" t="s">
        <v>465</v>
      </c>
      <c r="D147" s="6" t="s">
        <v>52</v>
      </c>
      <c r="E147" s="6" t="s">
        <v>302</v>
      </c>
      <c r="F147" s="6">
        <v>4</v>
      </c>
      <c r="G147" s="11">
        <v>46208.000009837961</v>
      </c>
      <c r="H147" s="11">
        <v>46221.000009837961</v>
      </c>
      <c r="I147" s="6" t="s">
        <v>94</v>
      </c>
      <c r="J147" s="6" t="b">
        <f>IF(AND(H147&lt;Config!$B$2,I147&lt;&gt;"Approved / IFI"),TRUE,FALSE)</f>
        <v>0</v>
      </c>
      <c r="K147" s="6" t="str">
        <f t="shared" si="2"/>
        <v>Complete</v>
      </c>
    </row>
    <row r="148" spans="1:11" x14ac:dyDescent="0.25">
      <c r="A148" s="6" t="s">
        <v>673</v>
      </c>
      <c r="B148" s="6" t="s">
        <v>174</v>
      </c>
      <c r="C148" s="6" t="s">
        <v>493</v>
      </c>
      <c r="D148" s="6" t="s">
        <v>54</v>
      </c>
      <c r="E148" s="6" t="s">
        <v>284</v>
      </c>
      <c r="F148" s="6">
        <v>2</v>
      </c>
      <c r="G148" s="11">
        <v>46163.000009837961</v>
      </c>
      <c r="H148" s="11">
        <v>46201.000009837961</v>
      </c>
      <c r="I148" s="6" t="s">
        <v>94</v>
      </c>
      <c r="J148" s="6" t="b">
        <f>IF(AND(H148&lt;Config!$B$2,I148&lt;&gt;"Approved / IFI"),TRUE,FALSE)</f>
        <v>0</v>
      </c>
      <c r="K148" s="6" t="str">
        <f t="shared" si="2"/>
        <v>Complete</v>
      </c>
    </row>
    <row r="149" spans="1:11" x14ac:dyDescent="0.25">
      <c r="A149" s="6" t="s">
        <v>674</v>
      </c>
      <c r="B149" s="6" t="s">
        <v>174</v>
      </c>
      <c r="C149" s="6" t="s">
        <v>590</v>
      </c>
      <c r="D149" s="6" t="s">
        <v>54</v>
      </c>
      <c r="E149" s="6" t="s">
        <v>201</v>
      </c>
      <c r="F149" s="6">
        <v>4</v>
      </c>
      <c r="G149" s="11">
        <v>46050.000009837961</v>
      </c>
      <c r="H149" s="11">
        <v>46063.000009837961</v>
      </c>
      <c r="I149" s="6" t="s">
        <v>94</v>
      </c>
      <c r="J149" s="6" t="b">
        <f>IF(AND(H149&lt;Config!$B$2,I149&lt;&gt;"Approved / IFI"),TRUE,FALSE)</f>
        <v>0</v>
      </c>
      <c r="K149" s="6" t="str">
        <f t="shared" si="2"/>
        <v>Complete</v>
      </c>
    </row>
    <row r="150" spans="1:11" x14ac:dyDescent="0.25">
      <c r="A150" s="6" t="s">
        <v>675</v>
      </c>
      <c r="B150" s="6" t="s">
        <v>174</v>
      </c>
      <c r="C150" s="6" t="s">
        <v>511</v>
      </c>
      <c r="D150" s="6" t="s">
        <v>54</v>
      </c>
      <c r="E150" s="6" t="s">
        <v>201</v>
      </c>
      <c r="F150" s="6">
        <v>4</v>
      </c>
      <c r="G150" s="11">
        <v>46147.000009837961</v>
      </c>
      <c r="H150" s="11">
        <v>46183.000009837961</v>
      </c>
      <c r="I150" s="6" t="s">
        <v>94</v>
      </c>
      <c r="J150" s="6" t="b">
        <f>IF(AND(H150&lt;Config!$B$2,I150&lt;&gt;"Approved / IFI"),TRUE,FALSE)</f>
        <v>0</v>
      </c>
      <c r="K150" s="6" t="str">
        <f t="shared" si="2"/>
        <v>Complete</v>
      </c>
    </row>
    <row r="151" spans="1:11" x14ac:dyDescent="0.25">
      <c r="A151" s="6" t="s">
        <v>676</v>
      </c>
      <c r="B151" s="6" t="s">
        <v>174</v>
      </c>
      <c r="C151" s="6" t="s">
        <v>506</v>
      </c>
      <c r="D151" s="6" t="s">
        <v>50</v>
      </c>
      <c r="E151" s="6" t="s">
        <v>296</v>
      </c>
      <c r="F151" s="6">
        <v>2</v>
      </c>
      <c r="G151" s="11">
        <v>46166.000009837961</v>
      </c>
      <c r="H151" s="11">
        <v>46193.000009837961</v>
      </c>
      <c r="I151" s="6" t="s">
        <v>94</v>
      </c>
      <c r="J151" s="6" t="b">
        <f>IF(AND(H151&lt;Config!$B$2,I151&lt;&gt;"Approved / IFI"),TRUE,FALSE)</f>
        <v>0</v>
      </c>
      <c r="K151" s="6" t="str">
        <f t="shared" si="2"/>
        <v>Complete</v>
      </c>
    </row>
    <row r="152" spans="1:11" x14ac:dyDescent="0.25">
      <c r="A152" s="6" t="s">
        <v>677</v>
      </c>
      <c r="B152" s="6" t="s">
        <v>174</v>
      </c>
      <c r="C152" s="6" t="s">
        <v>678</v>
      </c>
      <c r="D152" s="6" t="s">
        <v>50</v>
      </c>
      <c r="E152" s="6" t="s">
        <v>296</v>
      </c>
      <c r="F152" s="6">
        <v>3</v>
      </c>
      <c r="G152" s="11">
        <v>46031.000009837961</v>
      </c>
      <c r="H152" s="11">
        <v>46054.000009837961</v>
      </c>
      <c r="I152" s="6" t="s">
        <v>94</v>
      </c>
      <c r="J152" s="6" t="b">
        <f>IF(AND(H152&lt;Config!$B$2,I152&lt;&gt;"Approved / IFI"),TRUE,FALSE)</f>
        <v>0</v>
      </c>
      <c r="K152" s="6" t="str">
        <f t="shared" si="2"/>
        <v>Complete</v>
      </c>
    </row>
    <row r="153" spans="1:11" x14ac:dyDescent="0.25">
      <c r="A153" s="6" t="s">
        <v>679</v>
      </c>
      <c r="B153" s="6" t="s">
        <v>174</v>
      </c>
      <c r="C153" s="6" t="s">
        <v>560</v>
      </c>
      <c r="D153" s="6" t="s">
        <v>53</v>
      </c>
      <c r="E153" s="6" t="s">
        <v>168</v>
      </c>
      <c r="F153" s="6">
        <v>3</v>
      </c>
      <c r="G153" s="11">
        <v>46037.000009837961</v>
      </c>
      <c r="H153" s="11">
        <v>46064.000009837961</v>
      </c>
      <c r="I153" s="6" t="s">
        <v>94</v>
      </c>
      <c r="J153" s="6" t="b">
        <f>IF(AND(H153&lt;Config!$B$2,I153&lt;&gt;"Approved / IFI"),TRUE,FALSE)</f>
        <v>0</v>
      </c>
      <c r="K153" s="6" t="str">
        <f t="shared" si="2"/>
        <v>Complete</v>
      </c>
    </row>
    <row r="154" spans="1:11" x14ac:dyDescent="0.25">
      <c r="A154" s="6" t="s">
        <v>680</v>
      </c>
      <c r="B154" s="6" t="s">
        <v>174</v>
      </c>
      <c r="C154" s="6" t="s">
        <v>556</v>
      </c>
      <c r="D154" s="6" t="s">
        <v>52</v>
      </c>
      <c r="E154" s="6" t="s">
        <v>304</v>
      </c>
      <c r="F154" s="6">
        <v>2</v>
      </c>
      <c r="G154" s="11">
        <v>46296.000009837961</v>
      </c>
      <c r="H154" s="11">
        <v>46311.000009837961</v>
      </c>
      <c r="I154" s="6" t="s">
        <v>90</v>
      </c>
      <c r="J154" s="6" t="b">
        <f>IF(AND(H154&lt;Config!$B$2,I154&lt;&gt;"Approved / IFI"),TRUE,FALSE)</f>
        <v>0</v>
      </c>
      <c r="K154" s="6" t="str">
        <f t="shared" si="2"/>
        <v>In Progress</v>
      </c>
    </row>
    <row r="155" spans="1:11" x14ac:dyDescent="0.25">
      <c r="A155" s="6" t="s">
        <v>681</v>
      </c>
      <c r="B155" s="6" t="s">
        <v>179</v>
      </c>
      <c r="C155" s="6" t="s">
        <v>531</v>
      </c>
      <c r="D155" s="6" t="s">
        <v>53</v>
      </c>
      <c r="E155" s="6" t="s">
        <v>156</v>
      </c>
      <c r="F155" s="6">
        <v>2</v>
      </c>
      <c r="G155" s="11">
        <v>46041.000009837961</v>
      </c>
      <c r="H155" s="11">
        <v>46062.000009837961</v>
      </c>
      <c r="I155" s="6" t="s">
        <v>94</v>
      </c>
      <c r="J155" s="6" t="b">
        <f>IF(AND(H155&lt;Config!$B$2,I155&lt;&gt;"Approved / IFI"),TRUE,FALSE)</f>
        <v>0</v>
      </c>
      <c r="K155" s="6" t="str">
        <f t="shared" si="2"/>
        <v>Complete</v>
      </c>
    </row>
    <row r="156" spans="1:11" x14ac:dyDescent="0.25">
      <c r="A156" s="6" t="s">
        <v>682</v>
      </c>
      <c r="B156" s="6" t="s">
        <v>179</v>
      </c>
      <c r="C156" s="6" t="s">
        <v>475</v>
      </c>
      <c r="D156" s="6" t="s">
        <v>52</v>
      </c>
      <c r="E156" s="6" t="s">
        <v>302</v>
      </c>
      <c r="F156" s="6">
        <v>2</v>
      </c>
      <c r="G156" s="11">
        <v>46067.000009837961</v>
      </c>
      <c r="H156" s="11">
        <v>46099.000009837961</v>
      </c>
      <c r="I156" s="6" t="s">
        <v>94</v>
      </c>
      <c r="J156" s="6" t="b">
        <f>IF(AND(H156&lt;Config!$B$2,I156&lt;&gt;"Approved / IFI"),TRUE,FALSE)</f>
        <v>0</v>
      </c>
      <c r="K156" s="6" t="str">
        <f t="shared" si="2"/>
        <v>Complete</v>
      </c>
    </row>
    <row r="157" spans="1:11" x14ac:dyDescent="0.25">
      <c r="A157" s="6" t="s">
        <v>683</v>
      </c>
      <c r="B157" s="6" t="s">
        <v>179</v>
      </c>
      <c r="C157" s="6" t="s">
        <v>684</v>
      </c>
      <c r="D157" s="6" t="s">
        <v>50</v>
      </c>
      <c r="E157" s="6" t="s">
        <v>298</v>
      </c>
      <c r="F157" s="6">
        <v>0</v>
      </c>
      <c r="G157" s="11">
        <v>46057.000009837961</v>
      </c>
      <c r="H157" s="11">
        <v>46084.000009837961</v>
      </c>
      <c r="I157" s="6" t="s">
        <v>94</v>
      </c>
      <c r="J157" s="6" t="b">
        <f>IF(AND(H157&lt;Config!$B$2,I157&lt;&gt;"Approved / IFI"),TRUE,FALSE)</f>
        <v>0</v>
      </c>
      <c r="K157" s="6" t="str">
        <f t="shared" si="2"/>
        <v>Complete</v>
      </c>
    </row>
    <row r="158" spans="1:11" x14ac:dyDescent="0.25">
      <c r="A158" s="6" t="s">
        <v>685</v>
      </c>
      <c r="B158" s="6" t="s">
        <v>179</v>
      </c>
      <c r="C158" s="6" t="s">
        <v>590</v>
      </c>
      <c r="D158" s="6" t="s">
        <v>54</v>
      </c>
      <c r="E158" s="6" t="s">
        <v>321</v>
      </c>
      <c r="F158" s="6">
        <v>0</v>
      </c>
      <c r="G158" s="11">
        <v>46194.000009837961</v>
      </c>
      <c r="H158" s="11">
        <v>46225.000009837961</v>
      </c>
      <c r="I158" s="6" t="s">
        <v>90</v>
      </c>
      <c r="J158" s="6" t="b">
        <f>IF(AND(H158&lt;Config!$B$2,I158&lt;&gt;"Approved / IFI"),TRUE,FALSE)</f>
        <v>1</v>
      </c>
      <c r="K158" s="6" t="str">
        <f t="shared" si="2"/>
        <v>Overdue</v>
      </c>
    </row>
    <row r="159" spans="1:11" x14ac:dyDescent="0.25">
      <c r="A159" s="6" t="s">
        <v>686</v>
      </c>
      <c r="B159" s="6" t="s">
        <v>179</v>
      </c>
      <c r="C159" s="6" t="s">
        <v>541</v>
      </c>
      <c r="D159" s="6" t="s">
        <v>51</v>
      </c>
      <c r="E159" s="6" t="s">
        <v>294</v>
      </c>
      <c r="F159" s="6">
        <v>3</v>
      </c>
      <c r="G159" s="11">
        <v>46218.000009837961</v>
      </c>
      <c r="H159" s="11">
        <v>46257.000009837961</v>
      </c>
      <c r="I159" s="6" t="s">
        <v>91</v>
      </c>
      <c r="J159" s="6" t="b">
        <f>IF(AND(H159&lt;Config!$B$2,I159&lt;&gt;"Approved / IFI"),TRUE,FALSE)</f>
        <v>0</v>
      </c>
      <c r="K159" s="6" t="str">
        <f t="shared" si="2"/>
        <v>In Review</v>
      </c>
    </row>
    <row r="160" spans="1:11" x14ac:dyDescent="0.25">
      <c r="A160" s="6" t="s">
        <v>687</v>
      </c>
      <c r="B160" s="6" t="s">
        <v>179</v>
      </c>
      <c r="C160" s="6" t="s">
        <v>556</v>
      </c>
      <c r="D160" s="6" t="s">
        <v>52</v>
      </c>
      <c r="E160" s="6" t="s">
        <v>279</v>
      </c>
      <c r="F160" s="6">
        <v>2</v>
      </c>
      <c r="G160" s="11">
        <v>46209.000009837961</v>
      </c>
      <c r="H160" s="11">
        <v>46228.000009837961</v>
      </c>
      <c r="I160" s="6" t="s">
        <v>92</v>
      </c>
      <c r="J160" s="6" t="b">
        <f>IF(AND(H160&lt;Config!$B$2,I160&lt;&gt;"Approved / IFI"),TRUE,FALSE)</f>
        <v>1</v>
      </c>
      <c r="K160" s="6" t="str">
        <f t="shared" si="2"/>
        <v>Overdue</v>
      </c>
    </row>
    <row r="161" spans="1:11" x14ac:dyDescent="0.25">
      <c r="A161" s="6" t="s">
        <v>688</v>
      </c>
      <c r="B161" s="6" t="s">
        <v>179</v>
      </c>
      <c r="C161" s="6" t="s">
        <v>511</v>
      </c>
      <c r="D161" s="6" t="s">
        <v>54</v>
      </c>
      <c r="E161" s="6" t="s">
        <v>144</v>
      </c>
      <c r="F161" s="6">
        <v>4</v>
      </c>
      <c r="G161" s="11">
        <v>46217.000009837961</v>
      </c>
      <c r="H161" s="11">
        <v>46242.000009837961</v>
      </c>
      <c r="I161" s="6" t="s">
        <v>91</v>
      </c>
      <c r="J161" s="6" t="b">
        <f>IF(AND(H161&lt;Config!$B$2,I161&lt;&gt;"Approved / IFI"),TRUE,FALSE)</f>
        <v>1</v>
      </c>
      <c r="K161" s="6" t="str">
        <f t="shared" si="2"/>
        <v>Overdue</v>
      </c>
    </row>
    <row r="162" spans="1:11" x14ac:dyDescent="0.25">
      <c r="A162" s="6" t="s">
        <v>689</v>
      </c>
      <c r="B162" s="6" t="s">
        <v>179</v>
      </c>
      <c r="C162" s="6" t="s">
        <v>550</v>
      </c>
      <c r="D162" s="6" t="s">
        <v>51</v>
      </c>
      <c r="E162" s="6" t="s">
        <v>276</v>
      </c>
      <c r="F162" s="6">
        <v>0</v>
      </c>
      <c r="G162" s="11">
        <v>46273.000009837961</v>
      </c>
      <c r="H162" s="11">
        <v>46313.000009837961</v>
      </c>
      <c r="I162" s="6" t="s">
        <v>90</v>
      </c>
      <c r="J162" s="6" t="b">
        <f>IF(AND(H162&lt;Config!$B$2,I162&lt;&gt;"Approved / IFI"),TRUE,FALSE)</f>
        <v>0</v>
      </c>
      <c r="K162" s="6" t="str">
        <f t="shared" si="2"/>
        <v>In Progress</v>
      </c>
    </row>
    <row r="163" spans="1:11" x14ac:dyDescent="0.25">
      <c r="A163" s="6" t="s">
        <v>690</v>
      </c>
      <c r="B163" s="6" t="s">
        <v>179</v>
      </c>
      <c r="C163" s="6" t="s">
        <v>525</v>
      </c>
      <c r="D163" s="6" t="s">
        <v>54</v>
      </c>
      <c r="E163" s="6" t="s">
        <v>144</v>
      </c>
      <c r="F163" s="6">
        <v>2</v>
      </c>
      <c r="G163" s="11">
        <v>46265.000009837961</v>
      </c>
      <c r="H163" s="11">
        <v>46292.000009837961</v>
      </c>
      <c r="I163" s="6" t="s">
        <v>91</v>
      </c>
      <c r="J163" s="6" t="b">
        <f>IF(AND(H163&lt;Config!$B$2,I163&lt;&gt;"Approved / IFI"),TRUE,FALSE)</f>
        <v>0</v>
      </c>
      <c r="K163" s="6" t="str">
        <f t="shared" si="2"/>
        <v>In Review</v>
      </c>
    </row>
    <row r="164" spans="1:11" x14ac:dyDescent="0.25">
      <c r="A164" s="6" t="s">
        <v>691</v>
      </c>
      <c r="B164" s="6" t="s">
        <v>179</v>
      </c>
      <c r="C164" s="6" t="s">
        <v>556</v>
      </c>
      <c r="D164" s="6" t="s">
        <v>52</v>
      </c>
      <c r="E164" s="6" t="s">
        <v>302</v>
      </c>
      <c r="F164" s="6">
        <v>3</v>
      </c>
      <c r="G164" s="11">
        <v>46190.000009837961</v>
      </c>
      <c r="H164" s="11">
        <v>46234.000009837961</v>
      </c>
      <c r="I164" s="6" t="s">
        <v>91</v>
      </c>
      <c r="J164" s="6" t="b">
        <f>IF(AND(H164&lt;Config!$B$2,I164&lt;&gt;"Approved / IFI"),TRUE,FALSE)</f>
        <v>1</v>
      </c>
      <c r="K164" s="6" t="str">
        <f t="shared" si="2"/>
        <v>Overdue</v>
      </c>
    </row>
    <row r="165" spans="1:11" x14ac:dyDescent="0.25">
      <c r="A165" s="6" t="s">
        <v>692</v>
      </c>
      <c r="B165" s="6" t="s">
        <v>179</v>
      </c>
      <c r="C165" s="6" t="s">
        <v>475</v>
      </c>
      <c r="D165" s="6" t="s">
        <v>52</v>
      </c>
      <c r="E165" s="6" t="s">
        <v>306</v>
      </c>
      <c r="F165" s="6">
        <v>2</v>
      </c>
      <c r="G165" s="11">
        <v>46233.000009837961</v>
      </c>
      <c r="H165" s="11">
        <v>46251.000009837961</v>
      </c>
      <c r="I165" s="6" t="s">
        <v>92</v>
      </c>
      <c r="J165" s="6" t="b">
        <f>IF(AND(H165&lt;Config!$B$2,I165&lt;&gt;"Approved / IFI"),TRUE,FALSE)</f>
        <v>0</v>
      </c>
      <c r="K165" s="6" t="str">
        <f t="shared" si="2"/>
        <v>In Review</v>
      </c>
    </row>
    <row r="166" spans="1:11" x14ac:dyDescent="0.25">
      <c r="A166" s="6" t="s">
        <v>693</v>
      </c>
      <c r="B166" s="6" t="s">
        <v>185</v>
      </c>
      <c r="C166" s="6" t="s">
        <v>694</v>
      </c>
      <c r="D166" s="6" t="s">
        <v>50</v>
      </c>
      <c r="E166" s="6" t="s">
        <v>296</v>
      </c>
      <c r="F166" s="6">
        <v>4</v>
      </c>
      <c r="G166" s="11">
        <v>46062.000009837961</v>
      </c>
      <c r="H166" s="11">
        <v>46085.000009837961</v>
      </c>
      <c r="I166" s="6" t="s">
        <v>94</v>
      </c>
      <c r="J166" s="6" t="b">
        <f>IF(AND(H166&lt;Config!$B$2,I166&lt;&gt;"Approved / IFI"),TRUE,FALSE)</f>
        <v>0</v>
      </c>
      <c r="K166" s="6" t="str">
        <f t="shared" si="2"/>
        <v>Complete</v>
      </c>
    </row>
    <row r="167" spans="1:11" x14ac:dyDescent="0.25">
      <c r="A167" s="6" t="s">
        <v>695</v>
      </c>
      <c r="B167" s="6" t="s">
        <v>185</v>
      </c>
      <c r="C167" s="6" t="s">
        <v>696</v>
      </c>
      <c r="D167" s="6" t="s">
        <v>55</v>
      </c>
      <c r="E167" s="6" t="s">
        <v>310</v>
      </c>
      <c r="F167" s="6">
        <v>2</v>
      </c>
      <c r="G167" s="11">
        <v>46079.000009837961</v>
      </c>
      <c r="H167" s="11">
        <v>46097.000009837961</v>
      </c>
      <c r="I167" s="6" t="s">
        <v>94</v>
      </c>
      <c r="J167" s="6" t="b">
        <f>IF(AND(H167&lt;Config!$B$2,I167&lt;&gt;"Approved / IFI"),TRUE,FALSE)</f>
        <v>0</v>
      </c>
      <c r="K167" s="6" t="str">
        <f t="shared" si="2"/>
        <v>Complete</v>
      </c>
    </row>
    <row r="168" spans="1:11" x14ac:dyDescent="0.25">
      <c r="A168" s="6" t="s">
        <v>697</v>
      </c>
      <c r="B168" s="6" t="s">
        <v>185</v>
      </c>
      <c r="C168" s="6" t="s">
        <v>698</v>
      </c>
      <c r="D168" s="6" t="s">
        <v>52</v>
      </c>
      <c r="E168" s="6" t="s">
        <v>302</v>
      </c>
      <c r="F168" s="6">
        <v>4</v>
      </c>
      <c r="G168" s="11">
        <v>46218.000009837961</v>
      </c>
      <c r="H168" s="11">
        <v>46235.000009837961</v>
      </c>
      <c r="I168" s="6" t="s">
        <v>90</v>
      </c>
      <c r="J168" s="6" t="b">
        <f>IF(AND(H168&lt;Config!$B$2,I168&lt;&gt;"Approved / IFI"),TRUE,FALSE)</f>
        <v>1</v>
      </c>
      <c r="K168" s="6" t="str">
        <f t="shared" si="2"/>
        <v>Overdue</v>
      </c>
    </row>
    <row r="169" spans="1:11" x14ac:dyDescent="0.25">
      <c r="A169" s="6" t="s">
        <v>699</v>
      </c>
      <c r="B169" s="6" t="s">
        <v>185</v>
      </c>
      <c r="C169" s="6" t="s">
        <v>541</v>
      </c>
      <c r="D169" s="6" t="s">
        <v>51</v>
      </c>
      <c r="E169" s="6" t="s">
        <v>276</v>
      </c>
      <c r="F169" s="6">
        <v>4</v>
      </c>
      <c r="G169" s="11">
        <v>46238.000009837961</v>
      </c>
      <c r="H169" s="11">
        <v>46278.000009837961</v>
      </c>
      <c r="I169" s="6" t="s">
        <v>90</v>
      </c>
      <c r="J169" s="6" t="b">
        <f>IF(AND(H169&lt;Config!$B$2,I169&lt;&gt;"Approved / IFI"),TRUE,FALSE)</f>
        <v>0</v>
      </c>
      <c r="K169" s="6" t="str">
        <f t="shared" si="2"/>
        <v>In Progress</v>
      </c>
    </row>
    <row r="170" spans="1:11" x14ac:dyDescent="0.25">
      <c r="A170" s="6" t="s">
        <v>700</v>
      </c>
      <c r="B170" s="6" t="s">
        <v>185</v>
      </c>
      <c r="C170" s="6" t="s">
        <v>701</v>
      </c>
      <c r="D170" s="6" t="s">
        <v>56</v>
      </c>
      <c r="E170" s="6" t="s">
        <v>319</v>
      </c>
      <c r="F170" s="6">
        <v>1</v>
      </c>
      <c r="G170" s="11">
        <v>46236.000009837961</v>
      </c>
      <c r="H170" s="11">
        <v>46260.000009837961</v>
      </c>
      <c r="I170" s="6" t="s">
        <v>91</v>
      </c>
      <c r="J170" s="6" t="b">
        <f>IF(AND(H170&lt;Config!$B$2,I170&lt;&gt;"Approved / IFI"),TRUE,FALSE)</f>
        <v>0</v>
      </c>
      <c r="K170" s="6" t="str">
        <f t="shared" si="2"/>
        <v>In Review</v>
      </c>
    </row>
    <row r="171" spans="1:11" x14ac:dyDescent="0.25">
      <c r="A171" s="6" t="s">
        <v>702</v>
      </c>
      <c r="B171" s="6" t="s">
        <v>185</v>
      </c>
      <c r="C171" s="6" t="s">
        <v>529</v>
      </c>
      <c r="D171" s="6" t="s">
        <v>51</v>
      </c>
      <c r="E171" s="6" t="s">
        <v>274</v>
      </c>
      <c r="F171" s="6">
        <v>0</v>
      </c>
      <c r="G171" s="11">
        <v>46206.000009837961</v>
      </c>
      <c r="H171" s="11">
        <v>46246.000009837961</v>
      </c>
      <c r="I171" s="6" t="s">
        <v>92</v>
      </c>
      <c r="J171" s="6" t="b">
        <f>IF(AND(H171&lt;Config!$B$2,I171&lt;&gt;"Approved / IFI"),TRUE,FALSE)</f>
        <v>1</v>
      </c>
      <c r="K171" s="6" t="str">
        <f t="shared" si="2"/>
        <v>Overdue</v>
      </c>
    </row>
    <row r="172" spans="1:11" x14ac:dyDescent="0.25">
      <c r="A172" s="6" t="s">
        <v>703</v>
      </c>
      <c r="B172" s="6" t="s">
        <v>185</v>
      </c>
      <c r="C172" s="6" t="s">
        <v>704</v>
      </c>
      <c r="D172" s="6" t="s">
        <v>51</v>
      </c>
      <c r="E172" s="6" t="s">
        <v>294</v>
      </c>
      <c r="F172" s="6">
        <v>3</v>
      </c>
      <c r="G172" s="11">
        <v>46280.000009837961</v>
      </c>
      <c r="H172" s="11">
        <v>46300.000009837961</v>
      </c>
      <c r="I172" s="6" t="s">
        <v>90</v>
      </c>
      <c r="J172" s="6" t="b">
        <f>IF(AND(H172&lt;Config!$B$2,I172&lt;&gt;"Approved / IFI"),TRUE,FALSE)</f>
        <v>0</v>
      </c>
      <c r="K172" s="6" t="str">
        <f t="shared" si="2"/>
        <v>In Progress</v>
      </c>
    </row>
    <row r="173" spans="1:11" x14ac:dyDescent="0.25">
      <c r="A173" s="6" t="s">
        <v>705</v>
      </c>
      <c r="B173" s="6" t="s">
        <v>185</v>
      </c>
      <c r="C173" s="6" t="s">
        <v>529</v>
      </c>
      <c r="D173" s="6" t="s">
        <v>51</v>
      </c>
      <c r="E173" s="6" t="s">
        <v>292</v>
      </c>
      <c r="F173" s="6">
        <v>0</v>
      </c>
      <c r="G173" s="11">
        <v>46280.000009837961</v>
      </c>
      <c r="H173" s="11">
        <v>46321.000009837961</v>
      </c>
      <c r="I173" s="6" t="s">
        <v>91</v>
      </c>
      <c r="J173" s="6" t="b">
        <f>IF(AND(H173&lt;Config!$B$2,I173&lt;&gt;"Approved / IFI"),TRUE,FALSE)</f>
        <v>0</v>
      </c>
      <c r="K173" s="6" t="str">
        <f t="shared" si="2"/>
        <v>In Review</v>
      </c>
    </row>
    <row r="174" spans="1:11" x14ac:dyDescent="0.25">
      <c r="A174" s="6" t="s">
        <v>706</v>
      </c>
      <c r="B174" s="6" t="s">
        <v>185</v>
      </c>
      <c r="C174" s="6" t="s">
        <v>707</v>
      </c>
      <c r="D174" s="6" t="s">
        <v>50</v>
      </c>
      <c r="E174" s="6" t="s">
        <v>298</v>
      </c>
      <c r="F174" s="6">
        <v>0</v>
      </c>
      <c r="G174" s="11">
        <v>46258.000009837961</v>
      </c>
      <c r="H174" s="11">
        <v>46290.000009837961</v>
      </c>
      <c r="I174" s="6" t="s">
        <v>91</v>
      </c>
      <c r="J174" s="6" t="b">
        <f>IF(AND(H174&lt;Config!$B$2,I174&lt;&gt;"Approved / IFI"),TRUE,FALSE)</f>
        <v>0</v>
      </c>
      <c r="K174" s="6" t="str">
        <f t="shared" si="2"/>
        <v>In Review</v>
      </c>
    </row>
    <row r="175" spans="1:11" x14ac:dyDescent="0.25">
      <c r="A175" s="6" t="s">
        <v>708</v>
      </c>
      <c r="B175" s="6" t="s">
        <v>185</v>
      </c>
      <c r="C175" s="6" t="s">
        <v>556</v>
      </c>
      <c r="D175" s="6" t="s">
        <v>52</v>
      </c>
      <c r="E175" s="6" t="s">
        <v>279</v>
      </c>
      <c r="F175" s="6">
        <v>2</v>
      </c>
      <c r="G175" s="11">
        <v>46284.000009837961</v>
      </c>
      <c r="H175" s="11">
        <v>46302.000009837961</v>
      </c>
      <c r="I175" s="6" t="s">
        <v>92</v>
      </c>
      <c r="J175" s="6" t="b">
        <f>IF(AND(H175&lt;Config!$B$2,I175&lt;&gt;"Approved / IFI"),TRUE,FALSE)</f>
        <v>0</v>
      </c>
      <c r="K175" s="6" t="str">
        <f t="shared" si="2"/>
        <v>In Review</v>
      </c>
    </row>
    <row r="176" spans="1:11" x14ac:dyDescent="0.25">
      <c r="A176" s="6" t="s">
        <v>709</v>
      </c>
      <c r="B176" s="6" t="s">
        <v>185</v>
      </c>
      <c r="C176" s="6" t="s">
        <v>457</v>
      </c>
      <c r="D176" s="6" t="s">
        <v>52</v>
      </c>
      <c r="E176" s="6" t="s">
        <v>279</v>
      </c>
      <c r="F176" s="6">
        <v>3</v>
      </c>
      <c r="G176" s="11">
        <v>46294.000009837961</v>
      </c>
      <c r="H176" s="11">
        <v>46314.000009837961</v>
      </c>
      <c r="I176" s="6" t="s">
        <v>92</v>
      </c>
      <c r="J176" s="6" t="b">
        <f>IF(AND(H176&lt;Config!$B$2,I176&lt;&gt;"Approved / IFI"),TRUE,FALSE)</f>
        <v>0</v>
      </c>
      <c r="K176" s="6" t="str">
        <f t="shared" si="2"/>
        <v>In Review</v>
      </c>
    </row>
    <row r="177" spans="1:11" x14ac:dyDescent="0.25">
      <c r="A177" s="6" t="s">
        <v>710</v>
      </c>
      <c r="B177" s="6" t="s">
        <v>185</v>
      </c>
      <c r="C177" s="6" t="s">
        <v>711</v>
      </c>
      <c r="D177" s="6" t="s">
        <v>53</v>
      </c>
      <c r="E177" s="6" t="s">
        <v>287</v>
      </c>
      <c r="F177" s="6">
        <v>2</v>
      </c>
      <c r="G177" s="11">
        <v>46250.000009837961</v>
      </c>
      <c r="H177" s="11">
        <v>46272.000009837961</v>
      </c>
      <c r="I177" s="6" t="s">
        <v>90</v>
      </c>
      <c r="J177" s="6" t="b">
        <f>IF(AND(H177&lt;Config!$B$2,I177&lt;&gt;"Approved / IFI"),TRUE,FALSE)</f>
        <v>0</v>
      </c>
      <c r="K177" s="6" t="str">
        <f t="shared" si="2"/>
        <v>In Progress</v>
      </c>
    </row>
    <row r="178" spans="1:11" x14ac:dyDescent="0.25">
      <c r="A178" s="6" t="s">
        <v>712</v>
      </c>
      <c r="B178" s="6" t="s">
        <v>185</v>
      </c>
      <c r="C178" s="6" t="s">
        <v>525</v>
      </c>
      <c r="D178" s="6" t="s">
        <v>54</v>
      </c>
      <c r="E178" s="6" t="s">
        <v>201</v>
      </c>
      <c r="F178" s="6">
        <v>3</v>
      </c>
      <c r="G178" s="11">
        <v>46230.000009837961</v>
      </c>
      <c r="H178" s="11">
        <v>46246.000009837961</v>
      </c>
      <c r="I178" s="6" t="s">
        <v>92</v>
      </c>
      <c r="J178" s="6" t="b">
        <f>IF(AND(H178&lt;Config!$B$2,I178&lt;&gt;"Approved / IFI"),TRUE,FALSE)</f>
        <v>1</v>
      </c>
      <c r="K178" s="6" t="str">
        <f t="shared" si="2"/>
        <v>Overdue</v>
      </c>
    </row>
    <row r="179" spans="1:11" x14ac:dyDescent="0.25">
      <c r="A179" s="6" t="s">
        <v>713</v>
      </c>
      <c r="B179" s="6" t="s">
        <v>189</v>
      </c>
      <c r="C179" s="6" t="s">
        <v>550</v>
      </c>
      <c r="D179" s="6" t="s">
        <v>51</v>
      </c>
      <c r="E179" s="6" t="s">
        <v>274</v>
      </c>
      <c r="F179" s="6">
        <v>1</v>
      </c>
      <c r="G179" s="11">
        <v>46126.000009837961</v>
      </c>
      <c r="H179" s="11">
        <v>46158.000009837961</v>
      </c>
      <c r="I179" s="6" t="s">
        <v>94</v>
      </c>
      <c r="J179" s="6" t="b">
        <f>IF(AND(H179&lt;Config!$B$2,I179&lt;&gt;"Approved / IFI"),TRUE,FALSE)</f>
        <v>0</v>
      </c>
      <c r="K179" s="6" t="str">
        <f t="shared" si="2"/>
        <v>Complete</v>
      </c>
    </row>
    <row r="180" spans="1:11" x14ac:dyDescent="0.25">
      <c r="A180" s="6" t="s">
        <v>714</v>
      </c>
      <c r="B180" s="6" t="s">
        <v>189</v>
      </c>
      <c r="C180" s="6" t="s">
        <v>562</v>
      </c>
      <c r="D180" s="6" t="s">
        <v>50</v>
      </c>
      <c r="E180" s="6" t="s">
        <v>300</v>
      </c>
      <c r="F180" s="6">
        <v>4</v>
      </c>
      <c r="G180" s="11">
        <v>46052.000009837961</v>
      </c>
      <c r="H180" s="11">
        <v>46080.000009837961</v>
      </c>
      <c r="I180" s="6" t="s">
        <v>94</v>
      </c>
      <c r="J180" s="6" t="b">
        <f>IF(AND(H180&lt;Config!$B$2,I180&lt;&gt;"Approved / IFI"),TRUE,FALSE)</f>
        <v>0</v>
      </c>
      <c r="K180" s="6" t="str">
        <f t="shared" si="2"/>
        <v>Complete</v>
      </c>
    </row>
    <row r="181" spans="1:11" x14ac:dyDescent="0.25">
      <c r="A181" s="6" t="s">
        <v>715</v>
      </c>
      <c r="B181" s="6" t="s">
        <v>189</v>
      </c>
      <c r="C181" s="6" t="s">
        <v>500</v>
      </c>
      <c r="D181" s="6" t="s">
        <v>50</v>
      </c>
      <c r="E181" s="6" t="s">
        <v>300</v>
      </c>
      <c r="F181" s="6">
        <v>2</v>
      </c>
      <c r="G181" s="11">
        <v>46137.000009837961</v>
      </c>
      <c r="H181" s="11">
        <v>46172.000009837961</v>
      </c>
      <c r="I181" s="6" t="s">
        <v>94</v>
      </c>
      <c r="J181" s="6" t="b">
        <f>IF(AND(H181&lt;Config!$B$2,I181&lt;&gt;"Approved / IFI"),TRUE,FALSE)</f>
        <v>0</v>
      </c>
      <c r="K181" s="6" t="str">
        <f t="shared" si="2"/>
        <v>Complete</v>
      </c>
    </row>
    <row r="182" spans="1:11" x14ac:dyDescent="0.25">
      <c r="A182" s="6" t="s">
        <v>716</v>
      </c>
      <c r="B182" s="6" t="s">
        <v>189</v>
      </c>
      <c r="C182" s="6" t="s">
        <v>451</v>
      </c>
      <c r="D182" s="6" t="s">
        <v>51</v>
      </c>
      <c r="E182" s="6" t="s">
        <v>162</v>
      </c>
      <c r="F182" s="6">
        <v>4</v>
      </c>
      <c r="G182" s="11">
        <v>46114.000009837961</v>
      </c>
      <c r="H182" s="11">
        <v>46134.000009837961</v>
      </c>
      <c r="I182" s="6" t="s">
        <v>94</v>
      </c>
      <c r="J182" s="6" t="b">
        <f>IF(AND(H182&lt;Config!$B$2,I182&lt;&gt;"Approved / IFI"),TRUE,FALSE)</f>
        <v>0</v>
      </c>
      <c r="K182" s="6" t="str">
        <f t="shared" si="2"/>
        <v>Complete</v>
      </c>
    </row>
    <row r="183" spans="1:11" x14ac:dyDescent="0.25">
      <c r="A183" s="6" t="s">
        <v>717</v>
      </c>
      <c r="B183" s="6" t="s">
        <v>189</v>
      </c>
      <c r="C183" s="6" t="s">
        <v>718</v>
      </c>
      <c r="D183" s="6" t="s">
        <v>53</v>
      </c>
      <c r="E183" s="6" t="s">
        <v>156</v>
      </c>
      <c r="F183" s="6">
        <v>2</v>
      </c>
      <c r="G183" s="11">
        <v>46299.000009837961</v>
      </c>
      <c r="H183" s="11">
        <v>46319.000009837961</v>
      </c>
      <c r="I183" s="6" t="s">
        <v>92</v>
      </c>
      <c r="J183" s="6" t="b">
        <f>IF(AND(H183&lt;Config!$B$2,I183&lt;&gt;"Approved / IFI"),TRUE,FALSE)</f>
        <v>0</v>
      </c>
      <c r="K183" s="6" t="str">
        <f t="shared" si="2"/>
        <v>In Review</v>
      </c>
    </row>
    <row r="184" spans="1:11" x14ac:dyDescent="0.25">
      <c r="A184" s="6" t="s">
        <v>719</v>
      </c>
      <c r="B184" s="6" t="s">
        <v>189</v>
      </c>
      <c r="C184" s="6" t="s">
        <v>451</v>
      </c>
      <c r="D184" s="6" t="s">
        <v>51</v>
      </c>
      <c r="E184" s="6" t="s">
        <v>276</v>
      </c>
      <c r="F184" s="6">
        <v>0</v>
      </c>
      <c r="G184" s="11">
        <v>46263.000009837961</v>
      </c>
      <c r="H184" s="11">
        <v>46298.000009837961</v>
      </c>
      <c r="I184" s="6" t="s">
        <v>91</v>
      </c>
      <c r="J184" s="6" t="b">
        <f>IF(AND(H184&lt;Config!$B$2,I184&lt;&gt;"Approved / IFI"),TRUE,FALSE)</f>
        <v>0</v>
      </c>
      <c r="K184" s="6" t="str">
        <f t="shared" si="2"/>
        <v>In Review</v>
      </c>
    </row>
    <row r="185" spans="1:11" x14ac:dyDescent="0.25">
      <c r="A185" s="6" t="s">
        <v>720</v>
      </c>
      <c r="B185" s="6" t="s">
        <v>189</v>
      </c>
      <c r="C185" s="6" t="s">
        <v>610</v>
      </c>
      <c r="D185" s="6" t="s">
        <v>52</v>
      </c>
      <c r="E185" s="6" t="s">
        <v>302</v>
      </c>
      <c r="F185" s="6">
        <v>4</v>
      </c>
      <c r="G185" s="11">
        <v>46287.000009837961</v>
      </c>
      <c r="H185" s="11">
        <v>46304.000009837961</v>
      </c>
      <c r="I185" s="6" t="s">
        <v>93</v>
      </c>
      <c r="J185" s="6" t="b">
        <f>IF(AND(H185&lt;Config!$B$2,I185&lt;&gt;"Approved / IFI"),TRUE,FALSE)</f>
        <v>0</v>
      </c>
      <c r="K185" s="6" t="str">
        <f t="shared" si="2"/>
        <v>Revise</v>
      </c>
    </row>
    <row r="186" spans="1:11" x14ac:dyDescent="0.25">
      <c r="A186" s="6" t="s">
        <v>721</v>
      </c>
      <c r="B186" s="6" t="s">
        <v>189</v>
      </c>
      <c r="C186" s="6" t="s">
        <v>602</v>
      </c>
      <c r="D186" s="6" t="s">
        <v>51</v>
      </c>
      <c r="E186" s="6" t="s">
        <v>276</v>
      </c>
      <c r="F186" s="6">
        <v>4</v>
      </c>
      <c r="G186" s="11">
        <v>46212.000009837961</v>
      </c>
      <c r="H186" s="11">
        <v>46237.000009837961</v>
      </c>
      <c r="I186" s="6" t="s">
        <v>92</v>
      </c>
      <c r="J186" s="6" t="b">
        <f>IF(AND(H186&lt;Config!$B$2,I186&lt;&gt;"Approved / IFI"),TRUE,FALSE)</f>
        <v>1</v>
      </c>
      <c r="K186" s="6" t="str">
        <f t="shared" si="2"/>
        <v>Overdue</v>
      </c>
    </row>
    <row r="187" spans="1:11" x14ac:dyDescent="0.25">
      <c r="A187" s="6" t="s">
        <v>722</v>
      </c>
      <c r="B187" s="6" t="s">
        <v>189</v>
      </c>
      <c r="C187" s="6" t="s">
        <v>488</v>
      </c>
      <c r="D187" s="6" t="s">
        <v>53</v>
      </c>
      <c r="E187" s="6" t="s">
        <v>168</v>
      </c>
      <c r="F187" s="6">
        <v>2</v>
      </c>
      <c r="G187" s="11">
        <v>46261.000009837961</v>
      </c>
      <c r="H187" s="11">
        <v>46304.000009837961</v>
      </c>
      <c r="I187" s="6" t="s">
        <v>90</v>
      </c>
      <c r="J187" s="6" t="b">
        <f>IF(AND(H187&lt;Config!$B$2,I187&lt;&gt;"Approved / IFI"),TRUE,FALSE)</f>
        <v>0</v>
      </c>
      <c r="K187" s="6" t="str">
        <f t="shared" si="2"/>
        <v>In Progress</v>
      </c>
    </row>
    <row r="188" spans="1:11" x14ac:dyDescent="0.25">
      <c r="A188" s="6" t="s">
        <v>723</v>
      </c>
      <c r="B188" s="6" t="s">
        <v>189</v>
      </c>
      <c r="C188" s="6" t="s">
        <v>724</v>
      </c>
      <c r="D188" s="6" t="s">
        <v>54</v>
      </c>
      <c r="E188" s="6" t="s">
        <v>201</v>
      </c>
      <c r="F188" s="6">
        <v>2</v>
      </c>
      <c r="G188" s="11">
        <v>46286.000009837961</v>
      </c>
      <c r="H188" s="11">
        <v>46305.000009837961</v>
      </c>
      <c r="I188" s="6" t="s">
        <v>92</v>
      </c>
      <c r="J188" s="6" t="b">
        <f>IF(AND(H188&lt;Config!$B$2,I188&lt;&gt;"Approved / IFI"),TRUE,FALSE)</f>
        <v>0</v>
      </c>
      <c r="K188" s="6" t="str">
        <f t="shared" si="2"/>
        <v>In Review</v>
      </c>
    </row>
    <row r="189" spans="1:11" x14ac:dyDescent="0.25">
      <c r="A189" s="6" t="s">
        <v>725</v>
      </c>
      <c r="B189" s="6" t="s">
        <v>189</v>
      </c>
      <c r="C189" s="6" t="s">
        <v>552</v>
      </c>
      <c r="D189" s="6" t="s">
        <v>56</v>
      </c>
      <c r="E189" s="6" t="s">
        <v>317</v>
      </c>
      <c r="F189" s="6">
        <v>3</v>
      </c>
      <c r="G189" s="11">
        <v>46248.000009837961</v>
      </c>
      <c r="H189" s="11">
        <v>46282.000009837961</v>
      </c>
      <c r="I189" s="6" t="s">
        <v>90</v>
      </c>
      <c r="J189" s="6" t="b">
        <f>IF(AND(H189&lt;Config!$B$2,I189&lt;&gt;"Approved / IFI"),TRUE,FALSE)</f>
        <v>0</v>
      </c>
      <c r="K189" s="6" t="str">
        <f t="shared" si="2"/>
        <v>In Progress</v>
      </c>
    </row>
    <row r="190" spans="1:11" x14ac:dyDescent="0.25">
      <c r="A190" s="6" t="s">
        <v>726</v>
      </c>
      <c r="B190" s="6" t="s">
        <v>189</v>
      </c>
      <c r="C190" s="6" t="s">
        <v>504</v>
      </c>
      <c r="D190" s="6" t="s">
        <v>50</v>
      </c>
      <c r="E190" s="6" t="s">
        <v>156</v>
      </c>
      <c r="F190" s="6">
        <v>2</v>
      </c>
      <c r="G190" s="11">
        <v>46222.000009837961</v>
      </c>
      <c r="H190" s="11">
        <v>46266.000009837961</v>
      </c>
      <c r="I190" s="6" t="s">
        <v>90</v>
      </c>
      <c r="J190" s="6" t="b">
        <f>IF(AND(H190&lt;Config!$B$2,I190&lt;&gt;"Approved / IFI"),TRUE,FALSE)</f>
        <v>0</v>
      </c>
      <c r="K190" s="6" t="str">
        <f t="shared" si="2"/>
        <v>In Progress</v>
      </c>
    </row>
    <row r="191" spans="1:11" x14ac:dyDescent="0.25">
      <c r="A191" s="6" t="s">
        <v>727</v>
      </c>
      <c r="B191" s="6" t="s">
        <v>189</v>
      </c>
      <c r="C191" s="6" t="s">
        <v>590</v>
      </c>
      <c r="D191" s="6" t="s">
        <v>54</v>
      </c>
      <c r="E191" s="6" t="s">
        <v>284</v>
      </c>
      <c r="F191" s="6">
        <v>0</v>
      </c>
      <c r="G191" s="11">
        <v>46243.000009837961</v>
      </c>
      <c r="H191" s="11">
        <v>46260.000009837961</v>
      </c>
      <c r="I191" s="6" t="s">
        <v>91</v>
      </c>
      <c r="J191" s="6" t="b">
        <f>IF(AND(H191&lt;Config!$B$2,I191&lt;&gt;"Approved / IFI"),TRUE,FALSE)</f>
        <v>0</v>
      </c>
      <c r="K191" s="6" t="str">
        <f t="shared" si="2"/>
        <v>In Review</v>
      </c>
    </row>
    <row r="192" spans="1:11" x14ac:dyDescent="0.25">
      <c r="A192" s="6" t="s">
        <v>728</v>
      </c>
      <c r="B192" s="6" t="s">
        <v>189</v>
      </c>
      <c r="C192" s="6" t="s">
        <v>729</v>
      </c>
      <c r="D192" s="6" t="s">
        <v>54</v>
      </c>
      <c r="E192" s="6" t="s">
        <v>321</v>
      </c>
      <c r="F192" s="6">
        <v>2</v>
      </c>
      <c r="G192" s="11">
        <v>46213.000009837961</v>
      </c>
      <c r="H192" s="11">
        <v>46248.000009837961</v>
      </c>
      <c r="I192" s="6" t="s">
        <v>91</v>
      </c>
      <c r="J192" s="6" t="b">
        <f>IF(AND(H192&lt;Config!$B$2,I192&lt;&gt;"Approved / IFI"),TRUE,FALSE)</f>
        <v>1</v>
      </c>
      <c r="K192" s="6" t="str">
        <f t="shared" si="2"/>
        <v>Overdue</v>
      </c>
    </row>
    <row r="193" spans="1:11" x14ac:dyDescent="0.25">
      <c r="A193" s="6" t="s">
        <v>730</v>
      </c>
      <c r="B193" s="6" t="s">
        <v>189</v>
      </c>
      <c r="C193" s="6" t="s">
        <v>731</v>
      </c>
      <c r="D193" s="6" t="s">
        <v>56</v>
      </c>
      <c r="E193" s="6" t="s">
        <v>319</v>
      </c>
      <c r="F193" s="6">
        <v>1</v>
      </c>
      <c r="G193" s="11">
        <v>46215.000009837961</v>
      </c>
      <c r="H193" s="11">
        <v>46258.000009837961</v>
      </c>
      <c r="I193" s="6" t="s">
        <v>90</v>
      </c>
      <c r="J193" s="6" t="b">
        <f>IF(AND(H193&lt;Config!$B$2,I193&lt;&gt;"Approved / IFI"),TRUE,FALSE)</f>
        <v>0</v>
      </c>
      <c r="K193" s="6" t="str">
        <f t="shared" si="2"/>
        <v>In Progress</v>
      </c>
    </row>
    <row r="194" spans="1:11" x14ac:dyDescent="0.25">
      <c r="A194" s="6" t="s">
        <v>732</v>
      </c>
      <c r="B194" s="6" t="s">
        <v>189</v>
      </c>
      <c r="C194" s="6" t="s">
        <v>733</v>
      </c>
      <c r="D194" s="6" t="s">
        <v>53</v>
      </c>
      <c r="E194" s="6" t="s">
        <v>168</v>
      </c>
      <c r="F194" s="6">
        <v>4</v>
      </c>
      <c r="G194" s="11">
        <v>46235.000009837961</v>
      </c>
      <c r="H194" s="11">
        <v>46276.000009837961</v>
      </c>
      <c r="I194" s="6" t="s">
        <v>93</v>
      </c>
      <c r="J194" s="6" t="b">
        <f>IF(AND(H194&lt;Config!$B$2,I194&lt;&gt;"Approved / IFI"),TRUE,FALSE)</f>
        <v>0</v>
      </c>
      <c r="K194" s="6" t="str">
        <f t="shared" ref="K194:K257" si="3">IF(J194=TRUE,"Overdue",IF(I194="Approved / IFI","Complete",IF(I194="Internal Development","In Progress",IF(I194="Revise &amp; Resubmit","Revise","In Review"))))</f>
        <v>Revise</v>
      </c>
    </row>
    <row r="195" spans="1:11" x14ac:dyDescent="0.25">
      <c r="A195" s="6" t="s">
        <v>734</v>
      </c>
      <c r="B195" s="6" t="s">
        <v>195</v>
      </c>
      <c r="C195" s="6" t="s">
        <v>581</v>
      </c>
      <c r="D195" s="6" t="s">
        <v>54</v>
      </c>
      <c r="E195" s="6" t="s">
        <v>284</v>
      </c>
      <c r="F195" s="6">
        <v>2</v>
      </c>
      <c r="G195" s="11">
        <v>46147.000009837961</v>
      </c>
      <c r="H195" s="11">
        <v>46182.000009837961</v>
      </c>
      <c r="I195" s="6" t="s">
        <v>94</v>
      </c>
      <c r="J195" s="6" t="b">
        <f>IF(AND(H195&lt;Config!$B$2,I195&lt;&gt;"Approved / IFI"),TRUE,FALSE)</f>
        <v>0</v>
      </c>
      <c r="K195" s="6" t="str">
        <f t="shared" si="3"/>
        <v>Complete</v>
      </c>
    </row>
    <row r="196" spans="1:11" x14ac:dyDescent="0.25">
      <c r="A196" s="6" t="s">
        <v>735</v>
      </c>
      <c r="B196" s="6" t="s">
        <v>195</v>
      </c>
      <c r="C196" s="6" t="s">
        <v>736</v>
      </c>
      <c r="D196" s="6" t="s">
        <v>52</v>
      </c>
      <c r="E196" s="6" t="s">
        <v>304</v>
      </c>
      <c r="F196" s="6">
        <v>4</v>
      </c>
      <c r="G196" s="11">
        <v>46305.000009837961</v>
      </c>
      <c r="H196" s="11">
        <v>46323.000009837961</v>
      </c>
      <c r="I196" s="6" t="s">
        <v>90</v>
      </c>
      <c r="J196" s="6" t="b">
        <f>IF(AND(H196&lt;Config!$B$2,I196&lt;&gt;"Approved / IFI"),TRUE,FALSE)</f>
        <v>0</v>
      </c>
      <c r="K196" s="6" t="str">
        <f t="shared" si="3"/>
        <v>In Progress</v>
      </c>
    </row>
    <row r="197" spans="1:11" x14ac:dyDescent="0.25">
      <c r="A197" s="6" t="s">
        <v>737</v>
      </c>
      <c r="B197" s="6" t="s">
        <v>195</v>
      </c>
      <c r="C197" s="6" t="s">
        <v>738</v>
      </c>
      <c r="D197" s="6" t="s">
        <v>56</v>
      </c>
      <c r="E197" s="6" t="s">
        <v>319</v>
      </c>
      <c r="F197" s="6">
        <v>1</v>
      </c>
      <c r="G197" s="11">
        <v>46285.000009837961</v>
      </c>
      <c r="H197" s="11">
        <v>46319.000009837961</v>
      </c>
      <c r="I197" s="6" t="s">
        <v>93</v>
      </c>
      <c r="J197" s="6" t="b">
        <f>IF(AND(H197&lt;Config!$B$2,I197&lt;&gt;"Approved / IFI"),TRUE,FALSE)</f>
        <v>0</v>
      </c>
      <c r="K197" s="6" t="str">
        <f t="shared" si="3"/>
        <v>Revise</v>
      </c>
    </row>
    <row r="198" spans="1:11" x14ac:dyDescent="0.25">
      <c r="A198" s="6" t="s">
        <v>739</v>
      </c>
      <c r="B198" s="6" t="s">
        <v>195</v>
      </c>
      <c r="C198" s="6" t="s">
        <v>560</v>
      </c>
      <c r="D198" s="6" t="s">
        <v>53</v>
      </c>
      <c r="E198" s="6" t="s">
        <v>168</v>
      </c>
      <c r="F198" s="6">
        <v>1</v>
      </c>
      <c r="G198" s="11">
        <v>46275.000009837961</v>
      </c>
      <c r="H198" s="11">
        <v>46316.000009837961</v>
      </c>
      <c r="I198" s="6" t="s">
        <v>93</v>
      </c>
      <c r="J198" s="6" t="b">
        <f>IF(AND(H198&lt;Config!$B$2,I198&lt;&gt;"Approved / IFI"),TRUE,FALSE)</f>
        <v>0</v>
      </c>
      <c r="K198" s="6" t="str">
        <f t="shared" si="3"/>
        <v>Revise</v>
      </c>
    </row>
    <row r="199" spans="1:11" x14ac:dyDescent="0.25">
      <c r="A199" s="6" t="s">
        <v>740</v>
      </c>
      <c r="B199" s="6" t="s">
        <v>195</v>
      </c>
      <c r="C199" s="6" t="s">
        <v>511</v>
      </c>
      <c r="D199" s="6" t="s">
        <v>54</v>
      </c>
      <c r="E199" s="6" t="s">
        <v>284</v>
      </c>
      <c r="F199" s="6">
        <v>3</v>
      </c>
      <c r="G199" s="11">
        <v>46264.000009837961</v>
      </c>
      <c r="H199" s="11">
        <v>46288.000009837961</v>
      </c>
      <c r="I199" s="6" t="s">
        <v>93</v>
      </c>
      <c r="J199" s="6" t="b">
        <f>IF(AND(H199&lt;Config!$B$2,I199&lt;&gt;"Approved / IFI"),TRUE,FALSE)</f>
        <v>0</v>
      </c>
      <c r="K199" s="6" t="str">
        <f t="shared" si="3"/>
        <v>Revise</v>
      </c>
    </row>
    <row r="200" spans="1:11" x14ac:dyDescent="0.25">
      <c r="A200" s="6" t="s">
        <v>741</v>
      </c>
      <c r="B200" s="6" t="s">
        <v>195</v>
      </c>
      <c r="C200" s="6" t="s">
        <v>463</v>
      </c>
      <c r="D200" s="6" t="s">
        <v>54</v>
      </c>
      <c r="E200" s="6" t="s">
        <v>144</v>
      </c>
      <c r="F200" s="6">
        <v>0</v>
      </c>
      <c r="G200" s="11">
        <v>46231.000009837961</v>
      </c>
      <c r="H200" s="11">
        <v>46269.000009837961</v>
      </c>
      <c r="I200" s="6" t="s">
        <v>93</v>
      </c>
      <c r="J200" s="6" t="b">
        <f>IF(AND(H200&lt;Config!$B$2,I200&lt;&gt;"Approved / IFI"),TRUE,FALSE)</f>
        <v>0</v>
      </c>
      <c r="K200" s="6" t="str">
        <f t="shared" si="3"/>
        <v>Revise</v>
      </c>
    </row>
    <row r="201" spans="1:11" x14ac:dyDescent="0.25">
      <c r="A201" s="6" t="s">
        <v>742</v>
      </c>
      <c r="B201" s="6" t="s">
        <v>195</v>
      </c>
      <c r="C201" s="6" t="s">
        <v>743</v>
      </c>
      <c r="D201" s="6" t="s">
        <v>51</v>
      </c>
      <c r="E201" s="6" t="s">
        <v>274</v>
      </c>
      <c r="F201" s="6">
        <v>4</v>
      </c>
      <c r="G201" s="11">
        <v>46288.000009837961</v>
      </c>
      <c r="H201" s="11">
        <v>46320.000009837961</v>
      </c>
      <c r="I201" s="6" t="s">
        <v>92</v>
      </c>
      <c r="J201" s="6" t="b">
        <f>IF(AND(H201&lt;Config!$B$2,I201&lt;&gt;"Approved / IFI"),TRUE,FALSE)</f>
        <v>0</v>
      </c>
      <c r="K201" s="6" t="str">
        <f t="shared" si="3"/>
        <v>In Review</v>
      </c>
    </row>
    <row r="202" spans="1:11" x14ac:dyDescent="0.25">
      <c r="A202" s="6" t="s">
        <v>744</v>
      </c>
      <c r="B202" s="6" t="s">
        <v>195</v>
      </c>
      <c r="C202" s="6" t="s">
        <v>745</v>
      </c>
      <c r="D202" s="6" t="s">
        <v>55</v>
      </c>
      <c r="E202" s="6" t="s">
        <v>310</v>
      </c>
      <c r="F202" s="6">
        <v>0</v>
      </c>
      <c r="G202" s="11">
        <v>46190.000009837961</v>
      </c>
      <c r="H202" s="11">
        <v>46232.000009837961</v>
      </c>
      <c r="I202" s="6" t="s">
        <v>93</v>
      </c>
      <c r="J202" s="6" t="b">
        <f>IF(AND(H202&lt;Config!$B$2,I202&lt;&gt;"Approved / IFI"),TRUE,FALSE)</f>
        <v>1</v>
      </c>
      <c r="K202" s="6" t="str">
        <f t="shared" si="3"/>
        <v>Overdue</v>
      </c>
    </row>
    <row r="203" spans="1:11" x14ac:dyDescent="0.25">
      <c r="A203" s="6" t="s">
        <v>746</v>
      </c>
      <c r="B203" s="6" t="s">
        <v>199</v>
      </c>
      <c r="C203" s="6" t="s">
        <v>747</v>
      </c>
      <c r="D203" s="6" t="s">
        <v>56</v>
      </c>
      <c r="E203" s="6" t="s">
        <v>319</v>
      </c>
      <c r="F203" s="6">
        <v>3</v>
      </c>
      <c r="G203" s="11">
        <v>46041.000009837961</v>
      </c>
      <c r="H203" s="11">
        <v>46076.000009837961</v>
      </c>
      <c r="I203" s="6" t="s">
        <v>94</v>
      </c>
      <c r="J203" s="6" t="b">
        <f>IF(AND(H203&lt;Config!$B$2,I203&lt;&gt;"Approved / IFI"),TRUE,FALSE)</f>
        <v>0</v>
      </c>
      <c r="K203" s="6" t="str">
        <f t="shared" si="3"/>
        <v>Complete</v>
      </c>
    </row>
    <row r="204" spans="1:11" x14ac:dyDescent="0.25">
      <c r="A204" s="6" t="s">
        <v>748</v>
      </c>
      <c r="B204" s="6" t="s">
        <v>199</v>
      </c>
      <c r="C204" s="6" t="s">
        <v>749</v>
      </c>
      <c r="D204" s="6" t="s">
        <v>51</v>
      </c>
      <c r="E204" s="6" t="s">
        <v>274</v>
      </c>
      <c r="F204" s="6">
        <v>2</v>
      </c>
      <c r="G204" s="11">
        <v>46175.000009837961</v>
      </c>
      <c r="H204" s="11">
        <v>46189.000009837961</v>
      </c>
      <c r="I204" s="6" t="s">
        <v>94</v>
      </c>
      <c r="J204" s="6" t="b">
        <f>IF(AND(H204&lt;Config!$B$2,I204&lt;&gt;"Approved / IFI"),TRUE,FALSE)</f>
        <v>0</v>
      </c>
      <c r="K204" s="6" t="str">
        <f t="shared" si="3"/>
        <v>Complete</v>
      </c>
    </row>
    <row r="205" spans="1:11" x14ac:dyDescent="0.25">
      <c r="A205" s="6" t="s">
        <v>750</v>
      </c>
      <c r="B205" s="6" t="s">
        <v>199</v>
      </c>
      <c r="C205" s="6" t="s">
        <v>550</v>
      </c>
      <c r="D205" s="6" t="s">
        <v>51</v>
      </c>
      <c r="E205" s="6" t="s">
        <v>292</v>
      </c>
      <c r="F205" s="6">
        <v>4</v>
      </c>
      <c r="G205" s="11">
        <v>46101.000009837961</v>
      </c>
      <c r="H205" s="11">
        <v>46125.000009837961</v>
      </c>
      <c r="I205" s="6" t="s">
        <v>94</v>
      </c>
      <c r="J205" s="6" t="b">
        <f>IF(AND(H205&lt;Config!$B$2,I205&lt;&gt;"Approved / IFI"),TRUE,FALSE)</f>
        <v>0</v>
      </c>
      <c r="K205" s="6" t="str">
        <f t="shared" si="3"/>
        <v>Complete</v>
      </c>
    </row>
    <row r="206" spans="1:11" x14ac:dyDescent="0.25">
      <c r="A206" s="6" t="s">
        <v>751</v>
      </c>
      <c r="B206" s="6" t="s">
        <v>199</v>
      </c>
      <c r="C206" s="6" t="s">
        <v>511</v>
      </c>
      <c r="D206" s="6" t="s">
        <v>54</v>
      </c>
      <c r="E206" s="6" t="s">
        <v>321</v>
      </c>
      <c r="F206" s="6">
        <v>0</v>
      </c>
      <c r="G206" s="11">
        <v>46189.000009837961</v>
      </c>
      <c r="H206" s="11">
        <v>46231.000009837961</v>
      </c>
      <c r="I206" s="6" t="s">
        <v>92</v>
      </c>
      <c r="J206" s="6" t="b">
        <f>IF(AND(H206&lt;Config!$B$2,I206&lt;&gt;"Approved / IFI"),TRUE,FALSE)</f>
        <v>1</v>
      </c>
      <c r="K206" s="6" t="str">
        <f t="shared" si="3"/>
        <v>Overdue</v>
      </c>
    </row>
    <row r="207" spans="1:11" x14ac:dyDescent="0.25">
      <c r="A207" s="6" t="s">
        <v>752</v>
      </c>
      <c r="B207" s="6" t="s">
        <v>199</v>
      </c>
      <c r="C207" s="6" t="s">
        <v>753</v>
      </c>
      <c r="D207" s="6" t="s">
        <v>50</v>
      </c>
      <c r="E207" s="6" t="s">
        <v>150</v>
      </c>
      <c r="F207" s="6">
        <v>4</v>
      </c>
      <c r="G207" s="11">
        <v>46292.000009837961</v>
      </c>
      <c r="H207" s="11">
        <v>46323.000009837961</v>
      </c>
      <c r="I207" s="6" t="s">
        <v>91</v>
      </c>
      <c r="J207" s="6" t="b">
        <f>IF(AND(H207&lt;Config!$B$2,I207&lt;&gt;"Approved / IFI"),TRUE,FALSE)</f>
        <v>0</v>
      </c>
      <c r="K207" s="6" t="str">
        <f t="shared" si="3"/>
        <v>In Review</v>
      </c>
    </row>
    <row r="208" spans="1:11" x14ac:dyDescent="0.25">
      <c r="A208" s="6" t="s">
        <v>754</v>
      </c>
      <c r="B208" s="6" t="s">
        <v>199</v>
      </c>
      <c r="C208" s="6" t="s">
        <v>565</v>
      </c>
      <c r="D208" s="6" t="s">
        <v>50</v>
      </c>
      <c r="E208" s="6" t="s">
        <v>298</v>
      </c>
      <c r="F208" s="6">
        <v>3</v>
      </c>
      <c r="G208" s="11">
        <v>46272.000009837961</v>
      </c>
      <c r="H208" s="11">
        <v>46297.000009837961</v>
      </c>
      <c r="I208" s="6" t="s">
        <v>91</v>
      </c>
      <c r="J208" s="6" t="b">
        <f>IF(AND(H208&lt;Config!$B$2,I208&lt;&gt;"Approved / IFI"),TRUE,FALSE)</f>
        <v>0</v>
      </c>
      <c r="K208" s="6" t="str">
        <f t="shared" si="3"/>
        <v>In Review</v>
      </c>
    </row>
    <row r="209" spans="1:11" x14ac:dyDescent="0.25">
      <c r="A209" s="6" t="s">
        <v>755</v>
      </c>
      <c r="B209" s="6" t="s">
        <v>199</v>
      </c>
      <c r="C209" s="6" t="s">
        <v>500</v>
      </c>
      <c r="D209" s="6" t="s">
        <v>50</v>
      </c>
      <c r="E209" s="6" t="s">
        <v>298</v>
      </c>
      <c r="F209" s="6">
        <v>1</v>
      </c>
      <c r="G209" s="11">
        <v>46273.000009837961</v>
      </c>
      <c r="H209" s="11">
        <v>46315.000009837961</v>
      </c>
      <c r="I209" s="6" t="s">
        <v>92</v>
      </c>
      <c r="J209" s="6" t="b">
        <f>IF(AND(H209&lt;Config!$B$2,I209&lt;&gt;"Approved / IFI"),TRUE,FALSE)</f>
        <v>0</v>
      </c>
      <c r="K209" s="6" t="str">
        <f t="shared" si="3"/>
        <v>In Review</v>
      </c>
    </row>
    <row r="210" spans="1:11" x14ac:dyDescent="0.25">
      <c r="A210" s="6" t="s">
        <v>756</v>
      </c>
      <c r="B210" s="6" t="s">
        <v>199</v>
      </c>
      <c r="C210" s="6" t="s">
        <v>475</v>
      </c>
      <c r="D210" s="6" t="s">
        <v>52</v>
      </c>
      <c r="E210" s="6" t="s">
        <v>183</v>
      </c>
      <c r="F210" s="6">
        <v>4</v>
      </c>
      <c r="G210" s="11">
        <v>46192.000009837961</v>
      </c>
      <c r="H210" s="11">
        <v>46229.000009837961</v>
      </c>
      <c r="I210" s="6" t="s">
        <v>90</v>
      </c>
      <c r="J210" s="6" t="b">
        <f>IF(AND(H210&lt;Config!$B$2,I210&lt;&gt;"Approved / IFI"),TRUE,FALSE)</f>
        <v>1</v>
      </c>
      <c r="K210" s="6" t="str">
        <f t="shared" si="3"/>
        <v>Overdue</v>
      </c>
    </row>
    <row r="211" spans="1:11" x14ac:dyDescent="0.25">
      <c r="A211" s="6" t="s">
        <v>757</v>
      </c>
      <c r="B211" s="6" t="s">
        <v>199</v>
      </c>
      <c r="C211" s="6" t="s">
        <v>541</v>
      </c>
      <c r="D211" s="6" t="s">
        <v>51</v>
      </c>
      <c r="E211" s="6" t="s">
        <v>162</v>
      </c>
      <c r="F211" s="6">
        <v>4</v>
      </c>
      <c r="G211" s="11">
        <v>46261.000009837961</v>
      </c>
      <c r="H211" s="11">
        <v>46289.000009837961</v>
      </c>
      <c r="I211" s="6" t="s">
        <v>92</v>
      </c>
      <c r="J211" s="6" t="b">
        <f>IF(AND(H211&lt;Config!$B$2,I211&lt;&gt;"Approved / IFI"),TRUE,FALSE)</f>
        <v>0</v>
      </c>
      <c r="K211" s="6" t="str">
        <f t="shared" si="3"/>
        <v>In Review</v>
      </c>
    </row>
    <row r="212" spans="1:11" x14ac:dyDescent="0.25">
      <c r="A212" s="6" t="s">
        <v>758</v>
      </c>
      <c r="B212" s="6" t="s">
        <v>199</v>
      </c>
      <c r="C212" s="6" t="s">
        <v>475</v>
      </c>
      <c r="D212" s="6" t="s">
        <v>52</v>
      </c>
      <c r="E212" s="6" t="s">
        <v>304</v>
      </c>
      <c r="F212" s="6">
        <v>1</v>
      </c>
      <c r="G212" s="11">
        <v>46288.000009837961</v>
      </c>
      <c r="H212" s="11">
        <v>46306.000009837961</v>
      </c>
      <c r="I212" s="6" t="s">
        <v>91</v>
      </c>
      <c r="J212" s="6" t="b">
        <f>IF(AND(H212&lt;Config!$B$2,I212&lt;&gt;"Approved / IFI"),TRUE,FALSE)</f>
        <v>0</v>
      </c>
      <c r="K212" s="6" t="str">
        <f t="shared" si="3"/>
        <v>In Review</v>
      </c>
    </row>
    <row r="213" spans="1:11" x14ac:dyDescent="0.25">
      <c r="A213" s="6" t="s">
        <v>759</v>
      </c>
      <c r="B213" s="6" t="s">
        <v>199</v>
      </c>
      <c r="C213" s="6" t="s">
        <v>760</v>
      </c>
      <c r="D213" s="6" t="s">
        <v>56</v>
      </c>
      <c r="E213" s="6" t="s">
        <v>317</v>
      </c>
      <c r="F213" s="6">
        <v>1</v>
      </c>
      <c r="G213" s="11">
        <v>46282.000009837961</v>
      </c>
      <c r="H213" s="11">
        <v>46314.000009837961</v>
      </c>
      <c r="I213" s="6" t="s">
        <v>91</v>
      </c>
      <c r="J213" s="6" t="b">
        <f>IF(AND(H213&lt;Config!$B$2,I213&lt;&gt;"Approved / IFI"),TRUE,FALSE)</f>
        <v>0</v>
      </c>
      <c r="K213" s="6" t="str">
        <f t="shared" si="3"/>
        <v>In Review</v>
      </c>
    </row>
    <row r="214" spans="1:11" x14ac:dyDescent="0.25">
      <c r="A214" s="6" t="s">
        <v>761</v>
      </c>
      <c r="B214" s="6" t="s">
        <v>199</v>
      </c>
      <c r="C214" s="6" t="s">
        <v>498</v>
      </c>
      <c r="D214" s="6" t="s">
        <v>52</v>
      </c>
      <c r="E214" s="6" t="s">
        <v>279</v>
      </c>
      <c r="F214" s="6">
        <v>2</v>
      </c>
      <c r="G214" s="11">
        <v>46245.000009837961</v>
      </c>
      <c r="H214" s="11">
        <v>46274.000009837961</v>
      </c>
      <c r="I214" s="6" t="s">
        <v>90</v>
      </c>
      <c r="J214" s="6" t="b">
        <f>IF(AND(H214&lt;Config!$B$2,I214&lt;&gt;"Approved / IFI"),TRUE,FALSE)</f>
        <v>0</v>
      </c>
      <c r="K214" s="6" t="str">
        <f t="shared" si="3"/>
        <v>In Progress</v>
      </c>
    </row>
    <row r="215" spans="1:11" x14ac:dyDescent="0.25">
      <c r="A215" s="6" t="s">
        <v>762</v>
      </c>
      <c r="B215" s="6" t="s">
        <v>199</v>
      </c>
      <c r="C215" s="6" t="s">
        <v>602</v>
      </c>
      <c r="D215" s="6" t="s">
        <v>51</v>
      </c>
      <c r="E215" s="6" t="s">
        <v>276</v>
      </c>
      <c r="F215" s="6">
        <v>3</v>
      </c>
      <c r="G215" s="11">
        <v>46258.000009837961</v>
      </c>
      <c r="H215" s="11">
        <v>46291.000009837961</v>
      </c>
      <c r="I215" s="6" t="s">
        <v>90</v>
      </c>
      <c r="J215" s="6" t="b">
        <f>IF(AND(H215&lt;Config!$B$2,I215&lt;&gt;"Approved / IFI"),TRUE,FALSE)</f>
        <v>0</v>
      </c>
      <c r="K215" s="6" t="str">
        <f t="shared" si="3"/>
        <v>In Progress</v>
      </c>
    </row>
    <row r="216" spans="1:11" x14ac:dyDescent="0.25">
      <c r="A216" s="6" t="s">
        <v>763</v>
      </c>
      <c r="B216" s="6" t="s">
        <v>203</v>
      </c>
      <c r="C216" s="6" t="s">
        <v>571</v>
      </c>
      <c r="D216" s="6" t="s">
        <v>51</v>
      </c>
      <c r="E216" s="6" t="s">
        <v>294</v>
      </c>
      <c r="F216" s="6">
        <v>1</v>
      </c>
      <c r="G216" s="11">
        <v>46208.000009837961</v>
      </c>
      <c r="H216" s="11">
        <v>46240.000009837961</v>
      </c>
      <c r="I216" s="6" t="s">
        <v>94</v>
      </c>
      <c r="J216" s="6" t="b">
        <f>IF(AND(H216&lt;Config!$B$2,I216&lt;&gt;"Approved / IFI"),TRUE,FALSE)</f>
        <v>0</v>
      </c>
      <c r="K216" s="6" t="str">
        <f t="shared" si="3"/>
        <v>Complete</v>
      </c>
    </row>
    <row r="217" spans="1:11" x14ac:dyDescent="0.25">
      <c r="A217" s="6" t="s">
        <v>764</v>
      </c>
      <c r="B217" s="6" t="s">
        <v>203</v>
      </c>
      <c r="C217" s="6" t="s">
        <v>541</v>
      </c>
      <c r="D217" s="6" t="s">
        <v>51</v>
      </c>
      <c r="E217" s="6" t="s">
        <v>292</v>
      </c>
      <c r="F217" s="6">
        <v>3</v>
      </c>
      <c r="G217" s="11">
        <v>46052.000009837961</v>
      </c>
      <c r="H217" s="11">
        <v>46074.000009837961</v>
      </c>
      <c r="I217" s="6" t="s">
        <v>94</v>
      </c>
      <c r="J217" s="6" t="b">
        <f>IF(AND(H217&lt;Config!$B$2,I217&lt;&gt;"Approved / IFI"),TRUE,FALSE)</f>
        <v>0</v>
      </c>
      <c r="K217" s="6" t="str">
        <f t="shared" si="3"/>
        <v>Complete</v>
      </c>
    </row>
    <row r="218" spans="1:11" x14ac:dyDescent="0.25">
      <c r="A218" s="6" t="s">
        <v>765</v>
      </c>
      <c r="B218" s="6" t="s">
        <v>203</v>
      </c>
      <c r="C218" s="6" t="s">
        <v>498</v>
      </c>
      <c r="D218" s="6" t="s">
        <v>52</v>
      </c>
      <c r="E218" s="6" t="s">
        <v>279</v>
      </c>
      <c r="F218" s="6">
        <v>4</v>
      </c>
      <c r="G218" s="11">
        <v>46196.000009837961</v>
      </c>
      <c r="H218" s="11">
        <v>46225.000009837961</v>
      </c>
      <c r="I218" s="6" t="s">
        <v>94</v>
      </c>
      <c r="J218" s="6" t="b">
        <f>IF(AND(H218&lt;Config!$B$2,I218&lt;&gt;"Approved / IFI"),TRUE,FALSE)</f>
        <v>0</v>
      </c>
      <c r="K218" s="6" t="str">
        <f t="shared" si="3"/>
        <v>Complete</v>
      </c>
    </row>
    <row r="219" spans="1:11" x14ac:dyDescent="0.25">
      <c r="A219" s="6" t="s">
        <v>766</v>
      </c>
      <c r="B219" s="6" t="s">
        <v>203</v>
      </c>
      <c r="C219" s="6" t="s">
        <v>541</v>
      </c>
      <c r="D219" s="6" t="s">
        <v>51</v>
      </c>
      <c r="E219" s="6" t="s">
        <v>292</v>
      </c>
      <c r="F219" s="6">
        <v>3</v>
      </c>
      <c r="G219" s="11">
        <v>46187.000009837961</v>
      </c>
      <c r="H219" s="11">
        <v>46206.000009837961</v>
      </c>
      <c r="I219" s="6" t="s">
        <v>94</v>
      </c>
      <c r="J219" s="6" t="b">
        <f>IF(AND(H219&lt;Config!$B$2,I219&lt;&gt;"Approved / IFI"),TRUE,FALSE)</f>
        <v>0</v>
      </c>
      <c r="K219" s="6" t="str">
        <f t="shared" si="3"/>
        <v>Complete</v>
      </c>
    </row>
    <row r="220" spans="1:11" x14ac:dyDescent="0.25">
      <c r="A220" s="6" t="s">
        <v>767</v>
      </c>
      <c r="B220" s="6" t="s">
        <v>203</v>
      </c>
      <c r="C220" s="6" t="s">
        <v>569</v>
      </c>
      <c r="D220" s="6" t="s">
        <v>53</v>
      </c>
      <c r="E220" s="6" t="s">
        <v>156</v>
      </c>
      <c r="F220" s="6">
        <v>1</v>
      </c>
      <c r="G220" s="11">
        <v>46033.000009837961</v>
      </c>
      <c r="H220" s="11">
        <v>46066.000009837961</v>
      </c>
      <c r="I220" s="6" t="s">
        <v>94</v>
      </c>
      <c r="J220" s="6" t="b">
        <f>IF(AND(H220&lt;Config!$B$2,I220&lt;&gt;"Approved / IFI"),TRUE,FALSE)</f>
        <v>0</v>
      </c>
      <c r="K220" s="6" t="str">
        <f t="shared" si="3"/>
        <v>Complete</v>
      </c>
    </row>
    <row r="221" spans="1:11" x14ac:dyDescent="0.25">
      <c r="A221" s="6" t="s">
        <v>768</v>
      </c>
      <c r="B221" s="6" t="s">
        <v>203</v>
      </c>
      <c r="C221" s="6" t="s">
        <v>628</v>
      </c>
      <c r="D221" s="6" t="s">
        <v>54</v>
      </c>
      <c r="E221" s="6" t="s">
        <v>284</v>
      </c>
      <c r="F221" s="6">
        <v>3</v>
      </c>
      <c r="G221" s="11">
        <v>46261.000009837961</v>
      </c>
      <c r="H221" s="11">
        <v>46297.000009837961</v>
      </c>
      <c r="I221" s="6" t="s">
        <v>90</v>
      </c>
      <c r="J221" s="6" t="b">
        <f>IF(AND(H221&lt;Config!$B$2,I221&lt;&gt;"Approved / IFI"),TRUE,FALSE)</f>
        <v>0</v>
      </c>
      <c r="K221" s="6" t="str">
        <f t="shared" si="3"/>
        <v>In Progress</v>
      </c>
    </row>
    <row r="222" spans="1:11" x14ac:dyDescent="0.25">
      <c r="A222" s="6" t="s">
        <v>769</v>
      </c>
      <c r="B222" s="6" t="s">
        <v>203</v>
      </c>
      <c r="C222" s="6" t="s">
        <v>560</v>
      </c>
      <c r="D222" s="6" t="s">
        <v>53</v>
      </c>
      <c r="E222" s="6" t="s">
        <v>168</v>
      </c>
      <c r="F222" s="6">
        <v>1</v>
      </c>
      <c r="G222" s="11">
        <v>46200.000009837961</v>
      </c>
      <c r="H222" s="11">
        <v>46238.000009837961</v>
      </c>
      <c r="I222" s="6" t="s">
        <v>91</v>
      </c>
      <c r="J222" s="6" t="b">
        <f>IF(AND(H222&lt;Config!$B$2,I222&lt;&gt;"Approved / IFI"),TRUE,FALSE)</f>
        <v>1</v>
      </c>
      <c r="K222" s="6" t="str">
        <f t="shared" si="3"/>
        <v>Overdue</v>
      </c>
    </row>
    <row r="223" spans="1:11" x14ac:dyDescent="0.25">
      <c r="A223" s="6" t="s">
        <v>770</v>
      </c>
      <c r="B223" s="6" t="s">
        <v>203</v>
      </c>
      <c r="C223" s="6" t="s">
        <v>628</v>
      </c>
      <c r="D223" s="6" t="s">
        <v>54</v>
      </c>
      <c r="E223" s="6" t="s">
        <v>144</v>
      </c>
      <c r="F223" s="6">
        <v>3</v>
      </c>
      <c r="G223" s="11">
        <v>46253.000009837961</v>
      </c>
      <c r="H223" s="11">
        <v>46290.000009837961</v>
      </c>
      <c r="I223" s="6" t="s">
        <v>92</v>
      </c>
      <c r="J223" s="6" t="b">
        <f>IF(AND(H223&lt;Config!$B$2,I223&lt;&gt;"Approved / IFI"),TRUE,FALSE)</f>
        <v>0</v>
      </c>
      <c r="K223" s="6" t="str">
        <f t="shared" si="3"/>
        <v>In Review</v>
      </c>
    </row>
    <row r="224" spans="1:11" x14ac:dyDescent="0.25">
      <c r="A224" s="6" t="s">
        <v>771</v>
      </c>
      <c r="B224" s="6" t="s">
        <v>203</v>
      </c>
      <c r="C224" s="6" t="s">
        <v>451</v>
      </c>
      <c r="D224" s="6" t="s">
        <v>51</v>
      </c>
      <c r="E224" s="6" t="s">
        <v>276</v>
      </c>
      <c r="F224" s="6">
        <v>1</v>
      </c>
      <c r="G224" s="11">
        <v>46267.000009837961</v>
      </c>
      <c r="H224" s="11">
        <v>46292.000009837961</v>
      </c>
      <c r="I224" s="6" t="s">
        <v>90</v>
      </c>
      <c r="J224" s="6" t="b">
        <f>IF(AND(H224&lt;Config!$B$2,I224&lt;&gt;"Approved / IFI"),TRUE,FALSE)</f>
        <v>0</v>
      </c>
      <c r="K224" s="6" t="str">
        <f t="shared" si="3"/>
        <v>In Progress</v>
      </c>
    </row>
    <row r="225" spans="1:11" x14ac:dyDescent="0.25">
      <c r="A225" s="6" t="s">
        <v>772</v>
      </c>
      <c r="B225" s="6" t="s">
        <v>203</v>
      </c>
      <c r="C225" s="6" t="s">
        <v>773</v>
      </c>
      <c r="D225" s="6" t="s">
        <v>53</v>
      </c>
      <c r="E225" s="6" t="s">
        <v>287</v>
      </c>
      <c r="F225" s="6">
        <v>4</v>
      </c>
      <c r="G225" s="11">
        <v>46222.000009837961</v>
      </c>
      <c r="H225" s="11">
        <v>46257.000009837961</v>
      </c>
      <c r="I225" s="6" t="s">
        <v>91</v>
      </c>
      <c r="J225" s="6" t="b">
        <f>IF(AND(H225&lt;Config!$B$2,I225&lt;&gt;"Approved / IFI"),TRUE,FALSE)</f>
        <v>0</v>
      </c>
      <c r="K225" s="6" t="str">
        <f t="shared" si="3"/>
        <v>In Review</v>
      </c>
    </row>
    <row r="226" spans="1:11" x14ac:dyDescent="0.25">
      <c r="A226" s="6" t="s">
        <v>774</v>
      </c>
      <c r="B226" s="6" t="s">
        <v>203</v>
      </c>
      <c r="C226" s="6" t="s">
        <v>453</v>
      </c>
      <c r="D226" s="6" t="s">
        <v>52</v>
      </c>
      <c r="E226" s="6" t="s">
        <v>306</v>
      </c>
      <c r="F226" s="6">
        <v>4</v>
      </c>
      <c r="G226" s="11">
        <v>46225.000009837961</v>
      </c>
      <c r="H226" s="11">
        <v>46265.000009837961</v>
      </c>
      <c r="I226" s="6" t="s">
        <v>91</v>
      </c>
      <c r="J226" s="6" t="b">
        <f>IF(AND(H226&lt;Config!$B$2,I226&lt;&gt;"Approved / IFI"),TRUE,FALSE)</f>
        <v>0</v>
      </c>
      <c r="K226" s="6" t="str">
        <f t="shared" si="3"/>
        <v>In Review</v>
      </c>
    </row>
    <row r="227" spans="1:11" x14ac:dyDescent="0.25">
      <c r="A227" s="6" t="s">
        <v>775</v>
      </c>
      <c r="B227" s="6" t="s">
        <v>203</v>
      </c>
      <c r="C227" s="6" t="s">
        <v>678</v>
      </c>
      <c r="D227" s="6" t="s">
        <v>50</v>
      </c>
      <c r="E227" s="6" t="s">
        <v>137</v>
      </c>
      <c r="F227" s="6">
        <v>1</v>
      </c>
      <c r="G227" s="11">
        <v>46289.000009837961</v>
      </c>
      <c r="H227" s="11">
        <v>46313.000009837961</v>
      </c>
      <c r="I227" s="6" t="s">
        <v>91</v>
      </c>
      <c r="J227" s="6" t="b">
        <f>IF(AND(H227&lt;Config!$B$2,I227&lt;&gt;"Approved / IFI"),TRUE,FALSE)</f>
        <v>0</v>
      </c>
      <c r="K227" s="6" t="str">
        <f t="shared" si="3"/>
        <v>In Review</v>
      </c>
    </row>
    <row r="228" spans="1:11" x14ac:dyDescent="0.25">
      <c r="A228" s="6" t="s">
        <v>776</v>
      </c>
      <c r="B228" s="6" t="s">
        <v>203</v>
      </c>
      <c r="C228" s="6" t="s">
        <v>777</v>
      </c>
      <c r="D228" s="6" t="s">
        <v>52</v>
      </c>
      <c r="E228" s="6" t="s">
        <v>306</v>
      </c>
      <c r="F228" s="6">
        <v>0</v>
      </c>
      <c r="G228" s="11">
        <v>46277.000009837961</v>
      </c>
      <c r="H228" s="11">
        <v>46320.000009837961</v>
      </c>
      <c r="I228" s="6" t="s">
        <v>90</v>
      </c>
      <c r="J228" s="6" t="b">
        <f>IF(AND(H228&lt;Config!$B$2,I228&lt;&gt;"Approved / IFI"),TRUE,FALSE)</f>
        <v>0</v>
      </c>
      <c r="K228" s="6" t="str">
        <f t="shared" si="3"/>
        <v>In Progress</v>
      </c>
    </row>
    <row r="229" spans="1:11" x14ac:dyDescent="0.25">
      <c r="A229" s="6" t="s">
        <v>778</v>
      </c>
      <c r="B229" s="6" t="s">
        <v>207</v>
      </c>
      <c r="C229" s="6" t="s">
        <v>562</v>
      </c>
      <c r="D229" s="6" t="s">
        <v>50</v>
      </c>
      <c r="E229" s="6" t="s">
        <v>300</v>
      </c>
      <c r="F229" s="6">
        <v>0</v>
      </c>
      <c r="G229" s="11">
        <v>46018.000009837961</v>
      </c>
      <c r="H229" s="11">
        <v>46053.000009837961</v>
      </c>
      <c r="I229" s="6" t="s">
        <v>94</v>
      </c>
      <c r="J229" s="6" t="b">
        <f>IF(AND(H229&lt;Config!$B$2,I229&lt;&gt;"Approved / IFI"),TRUE,FALSE)</f>
        <v>0</v>
      </c>
      <c r="K229" s="6" t="str">
        <f t="shared" si="3"/>
        <v>Complete</v>
      </c>
    </row>
    <row r="230" spans="1:11" x14ac:dyDescent="0.25">
      <c r="A230" s="6" t="s">
        <v>779</v>
      </c>
      <c r="B230" s="6" t="s">
        <v>207</v>
      </c>
      <c r="C230" s="6" t="s">
        <v>780</v>
      </c>
      <c r="D230" s="6" t="s">
        <v>56</v>
      </c>
      <c r="E230" s="6" t="s">
        <v>317</v>
      </c>
      <c r="F230" s="6">
        <v>0</v>
      </c>
      <c r="G230" s="11">
        <v>46162.000009837961</v>
      </c>
      <c r="H230" s="11">
        <v>46185.000009837961</v>
      </c>
      <c r="I230" s="6" t="s">
        <v>94</v>
      </c>
      <c r="J230" s="6" t="b">
        <f>IF(AND(H230&lt;Config!$B$2,I230&lt;&gt;"Approved / IFI"),TRUE,FALSE)</f>
        <v>0</v>
      </c>
      <c r="K230" s="6" t="str">
        <f t="shared" si="3"/>
        <v>Complete</v>
      </c>
    </row>
    <row r="231" spans="1:11" x14ac:dyDescent="0.25">
      <c r="A231" s="6" t="s">
        <v>781</v>
      </c>
      <c r="B231" s="6" t="s">
        <v>207</v>
      </c>
      <c r="C231" s="6" t="s">
        <v>484</v>
      </c>
      <c r="D231" s="6" t="s">
        <v>52</v>
      </c>
      <c r="E231" s="6" t="s">
        <v>304</v>
      </c>
      <c r="F231" s="6">
        <v>1</v>
      </c>
      <c r="G231" s="11">
        <v>46061.000009837961</v>
      </c>
      <c r="H231" s="11">
        <v>46089.000009837961</v>
      </c>
      <c r="I231" s="6" t="s">
        <v>94</v>
      </c>
      <c r="J231" s="6" t="b">
        <f>IF(AND(H231&lt;Config!$B$2,I231&lt;&gt;"Approved / IFI"),TRUE,FALSE)</f>
        <v>0</v>
      </c>
      <c r="K231" s="6" t="str">
        <f t="shared" si="3"/>
        <v>Complete</v>
      </c>
    </row>
    <row r="232" spans="1:11" x14ac:dyDescent="0.25">
      <c r="A232" s="6" t="s">
        <v>782</v>
      </c>
      <c r="B232" s="6" t="s">
        <v>207</v>
      </c>
      <c r="C232" s="6" t="s">
        <v>562</v>
      </c>
      <c r="D232" s="6" t="s">
        <v>50</v>
      </c>
      <c r="E232" s="6" t="s">
        <v>296</v>
      </c>
      <c r="F232" s="6">
        <v>0</v>
      </c>
      <c r="G232" s="11">
        <v>46200.000009837961</v>
      </c>
      <c r="H232" s="11">
        <v>46238.000009837961</v>
      </c>
      <c r="I232" s="6" t="s">
        <v>94</v>
      </c>
      <c r="J232" s="6" t="b">
        <f>IF(AND(H232&lt;Config!$B$2,I232&lt;&gt;"Approved / IFI"),TRUE,FALSE)</f>
        <v>0</v>
      </c>
      <c r="K232" s="6" t="str">
        <f t="shared" si="3"/>
        <v>Complete</v>
      </c>
    </row>
    <row r="233" spans="1:11" x14ac:dyDescent="0.25">
      <c r="A233" s="6" t="s">
        <v>783</v>
      </c>
      <c r="B233" s="6" t="s">
        <v>207</v>
      </c>
      <c r="C233" s="6" t="s">
        <v>556</v>
      </c>
      <c r="D233" s="6" t="s">
        <v>52</v>
      </c>
      <c r="E233" s="6" t="s">
        <v>183</v>
      </c>
      <c r="F233" s="6">
        <v>4</v>
      </c>
      <c r="G233" s="11">
        <v>46123.000009837961</v>
      </c>
      <c r="H233" s="11">
        <v>46160.000009837961</v>
      </c>
      <c r="I233" s="6" t="s">
        <v>94</v>
      </c>
      <c r="J233" s="6" t="b">
        <f>IF(AND(H233&lt;Config!$B$2,I233&lt;&gt;"Approved / IFI"),TRUE,FALSE)</f>
        <v>0</v>
      </c>
      <c r="K233" s="6" t="str">
        <f t="shared" si="3"/>
        <v>Complete</v>
      </c>
    </row>
    <row r="234" spans="1:11" x14ac:dyDescent="0.25">
      <c r="A234" s="6" t="s">
        <v>784</v>
      </c>
      <c r="B234" s="6" t="s">
        <v>207</v>
      </c>
      <c r="C234" s="6" t="s">
        <v>684</v>
      </c>
      <c r="D234" s="6" t="s">
        <v>50</v>
      </c>
      <c r="E234" s="6" t="s">
        <v>150</v>
      </c>
      <c r="F234" s="6">
        <v>3</v>
      </c>
      <c r="G234" s="11">
        <v>46177.000009837961</v>
      </c>
      <c r="H234" s="11">
        <v>46216.000009837961</v>
      </c>
      <c r="I234" s="6" t="s">
        <v>94</v>
      </c>
      <c r="J234" s="6" t="b">
        <f>IF(AND(H234&lt;Config!$B$2,I234&lt;&gt;"Approved / IFI"),TRUE,FALSE)</f>
        <v>0</v>
      </c>
      <c r="K234" s="6" t="str">
        <f t="shared" si="3"/>
        <v>Complete</v>
      </c>
    </row>
    <row r="235" spans="1:11" x14ac:dyDescent="0.25">
      <c r="A235" s="6" t="s">
        <v>785</v>
      </c>
      <c r="B235" s="6" t="s">
        <v>207</v>
      </c>
      <c r="C235" s="6" t="s">
        <v>457</v>
      </c>
      <c r="D235" s="6" t="s">
        <v>52</v>
      </c>
      <c r="E235" s="6" t="s">
        <v>279</v>
      </c>
      <c r="F235" s="6">
        <v>1</v>
      </c>
      <c r="G235" s="11">
        <v>46184.000009837961</v>
      </c>
      <c r="H235" s="11">
        <v>46216.000009837961</v>
      </c>
      <c r="I235" s="6" t="s">
        <v>94</v>
      </c>
      <c r="J235" s="6" t="b">
        <f>IF(AND(H235&lt;Config!$B$2,I235&lt;&gt;"Approved / IFI"),TRUE,FALSE)</f>
        <v>0</v>
      </c>
      <c r="K235" s="6" t="str">
        <f t="shared" si="3"/>
        <v>Complete</v>
      </c>
    </row>
    <row r="236" spans="1:11" x14ac:dyDescent="0.25">
      <c r="A236" s="6" t="s">
        <v>786</v>
      </c>
      <c r="B236" s="6" t="s">
        <v>207</v>
      </c>
      <c r="C236" s="6" t="s">
        <v>504</v>
      </c>
      <c r="D236" s="6" t="s">
        <v>50</v>
      </c>
      <c r="E236" s="6" t="s">
        <v>137</v>
      </c>
      <c r="F236" s="6">
        <v>3</v>
      </c>
      <c r="G236" s="11">
        <v>46192.000009837961</v>
      </c>
      <c r="H236" s="11">
        <v>46231.000009837961</v>
      </c>
      <c r="I236" s="6" t="s">
        <v>94</v>
      </c>
      <c r="J236" s="6" t="b">
        <f>IF(AND(H236&lt;Config!$B$2,I236&lt;&gt;"Approved / IFI"),TRUE,FALSE)</f>
        <v>0</v>
      </c>
      <c r="K236" s="6" t="str">
        <f t="shared" si="3"/>
        <v>Complete</v>
      </c>
    </row>
    <row r="237" spans="1:11" x14ac:dyDescent="0.25">
      <c r="A237" s="6" t="s">
        <v>787</v>
      </c>
      <c r="B237" s="6" t="s">
        <v>207</v>
      </c>
      <c r="C237" s="6" t="s">
        <v>780</v>
      </c>
      <c r="D237" s="6" t="s">
        <v>56</v>
      </c>
      <c r="E237" s="6" t="s">
        <v>317</v>
      </c>
      <c r="F237" s="6">
        <v>2</v>
      </c>
      <c r="G237" s="11">
        <v>46126.000009837961</v>
      </c>
      <c r="H237" s="11">
        <v>46157.000009837961</v>
      </c>
      <c r="I237" s="6" t="s">
        <v>94</v>
      </c>
      <c r="J237" s="6" t="b">
        <f>IF(AND(H237&lt;Config!$B$2,I237&lt;&gt;"Approved / IFI"),TRUE,FALSE)</f>
        <v>0</v>
      </c>
      <c r="K237" s="6" t="str">
        <f t="shared" si="3"/>
        <v>Complete</v>
      </c>
    </row>
    <row r="238" spans="1:11" x14ac:dyDescent="0.25">
      <c r="A238" s="6" t="s">
        <v>788</v>
      </c>
      <c r="B238" s="6" t="s">
        <v>207</v>
      </c>
      <c r="C238" s="6" t="s">
        <v>789</v>
      </c>
      <c r="D238" s="6" t="s">
        <v>53</v>
      </c>
      <c r="E238" s="6" t="s">
        <v>287</v>
      </c>
      <c r="F238" s="6">
        <v>1</v>
      </c>
      <c r="G238" s="11">
        <v>46105.000009837961</v>
      </c>
      <c r="H238" s="11">
        <v>46126.000009837961</v>
      </c>
      <c r="I238" s="6" t="s">
        <v>94</v>
      </c>
      <c r="J238" s="6" t="b">
        <f>IF(AND(H238&lt;Config!$B$2,I238&lt;&gt;"Approved / IFI"),TRUE,FALSE)</f>
        <v>0</v>
      </c>
      <c r="K238" s="6" t="str">
        <f t="shared" si="3"/>
        <v>Complete</v>
      </c>
    </row>
    <row r="239" spans="1:11" x14ac:dyDescent="0.25">
      <c r="A239" s="6" t="s">
        <v>790</v>
      </c>
      <c r="B239" s="6" t="s">
        <v>207</v>
      </c>
      <c r="C239" s="6" t="s">
        <v>791</v>
      </c>
      <c r="D239" s="6" t="s">
        <v>51</v>
      </c>
      <c r="E239" s="6" t="s">
        <v>162</v>
      </c>
      <c r="F239" s="6">
        <v>3</v>
      </c>
      <c r="G239" s="11">
        <v>46279.000009837961</v>
      </c>
      <c r="H239" s="11">
        <v>46304.000009837961</v>
      </c>
      <c r="I239" s="6" t="s">
        <v>93</v>
      </c>
      <c r="J239" s="6" t="b">
        <f>IF(AND(H239&lt;Config!$B$2,I239&lt;&gt;"Approved / IFI"),TRUE,FALSE)</f>
        <v>0</v>
      </c>
      <c r="K239" s="6" t="str">
        <f t="shared" si="3"/>
        <v>Revise</v>
      </c>
    </row>
    <row r="240" spans="1:11" x14ac:dyDescent="0.25">
      <c r="A240" s="6" t="s">
        <v>792</v>
      </c>
      <c r="B240" s="6" t="s">
        <v>207</v>
      </c>
      <c r="C240" s="6" t="s">
        <v>493</v>
      </c>
      <c r="D240" s="6" t="s">
        <v>54</v>
      </c>
      <c r="E240" s="6" t="s">
        <v>201</v>
      </c>
      <c r="F240" s="6">
        <v>4</v>
      </c>
      <c r="G240" s="11">
        <v>46241.000009837961</v>
      </c>
      <c r="H240" s="11">
        <v>46279.000009837961</v>
      </c>
      <c r="I240" s="6" t="s">
        <v>91</v>
      </c>
      <c r="J240" s="6" t="b">
        <f>IF(AND(H240&lt;Config!$B$2,I240&lt;&gt;"Approved / IFI"),TRUE,FALSE)</f>
        <v>0</v>
      </c>
      <c r="K240" s="6" t="str">
        <f t="shared" si="3"/>
        <v>In Review</v>
      </c>
    </row>
    <row r="241" spans="1:11" x14ac:dyDescent="0.25">
      <c r="A241" s="6" t="s">
        <v>793</v>
      </c>
      <c r="B241" s="6" t="s">
        <v>207</v>
      </c>
      <c r="C241" s="6" t="s">
        <v>658</v>
      </c>
      <c r="D241" s="6" t="s">
        <v>51</v>
      </c>
      <c r="E241" s="6" t="s">
        <v>276</v>
      </c>
      <c r="F241" s="6">
        <v>4</v>
      </c>
      <c r="G241" s="11">
        <v>46195.000009837961</v>
      </c>
      <c r="H241" s="11">
        <v>46231.000009837961</v>
      </c>
      <c r="I241" s="6" t="s">
        <v>90</v>
      </c>
      <c r="J241" s="6" t="b">
        <f>IF(AND(H241&lt;Config!$B$2,I241&lt;&gt;"Approved / IFI"),TRUE,FALSE)</f>
        <v>1</v>
      </c>
      <c r="K241" s="6" t="str">
        <f t="shared" si="3"/>
        <v>Overdue</v>
      </c>
    </row>
    <row r="242" spans="1:11" x14ac:dyDescent="0.25">
      <c r="A242" s="6" t="s">
        <v>794</v>
      </c>
      <c r="B242" s="6" t="s">
        <v>207</v>
      </c>
      <c r="C242" s="6" t="s">
        <v>525</v>
      </c>
      <c r="D242" s="6" t="s">
        <v>54</v>
      </c>
      <c r="E242" s="6" t="s">
        <v>284</v>
      </c>
      <c r="F242" s="6">
        <v>2</v>
      </c>
      <c r="G242" s="11">
        <v>46290.000009837961</v>
      </c>
      <c r="H242" s="11">
        <v>46306.000009837961</v>
      </c>
      <c r="I242" s="6" t="s">
        <v>90</v>
      </c>
      <c r="J242" s="6" t="b">
        <f>IF(AND(H242&lt;Config!$B$2,I242&lt;&gt;"Approved / IFI"),TRUE,FALSE)</f>
        <v>0</v>
      </c>
      <c r="K242" s="6" t="str">
        <f t="shared" si="3"/>
        <v>In Progress</v>
      </c>
    </row>
    <row r="243" spans="1:11" x14ac:dyDescent="0.25">
      <c r="A243" s="6" t="s">
        <v>795</v>
      </c>
      <c r="B243" s="6" t="s">
        <v>207</v>
      </c>
      <c r="C243" s="6" t="s">
        <v>796</v>
      </c>
      <c r="D243" s="6" t="s">
        <v>52</v>
      </c>
      <c r="E243" s="6" t="s">
        <v>279</v>
      </c>
      <c r="F243" s="6">
        <v>1</v>
      </c>
      <c r="G243" s="11">
        <v>46287.000009837961</v>
      </c>
      <c r="H243" s="11">
        <v>46309.000009837961</v>
      </c>
      <c r="I243" s="6" t="s">
        <v>93</v>
      </c>
      <c r="J243" s="6" t="b">
        <f>IF(AND(H243&lt;Config!$B$2,I243&lt;&gt;"Approved / IFI"),TRUE,FALSE)</f>
        <v>0</v>
      </c>
      <c r="K243" s="6" t="str">
        <f t="shared" si="3"/>
        <v>Revise</v>
      </c>
    </row>
    <row r="244" spans="1:11" x14ac:dyDescent="0.25">
      <c r="A244" s="6" t="s">
        <v>797</v>
      </c>
      <c r="B244" s="6" t="s">
        <v>207</v>
      </c>
      <c r="C244" s="6" t="s">
        <v>798</v>
      </c>
      <c r="D244" s="6" t="s">
        <v>51</v>
      </c>
      <c r="E244" s="6" t="s">
        <v>276</v>
      </c>
      <c r="F244" s="6">
        <v>4</v>
      </c>
      <c r="G244" s="11">
        <v>46243.000009837961</v>
      </c>
      <c r="H244" s="11">
        <v>46282.000009837961</v>
      </c>
      <c r="I244" s="6" t="s">
        <v>91</v>
      </c>
      <c r="J244" s="6" t="b">
        <f>IF(AND(H244&lt;Config!$B$2,I244&lt;&gt;"Approved / IFI"),TRUE,FALSE)</f>
        <v>0</v>
      </c>
      <c r="K244" s="6" t="str">
        <f t="shared" si="3"/>
        <v>In Review</v>
      </c>
    </row>
    <row r="245" spans="1:11" x14ac:dyDescent="0.25">
      <c r="A245" s="6" t="s">
        <v>799</v>
      </c>
      <c r="B245" s="6" t="s">
        <v>207</v>
      </c>
      <c r="C245" s="6" t="s">
        <v>571</v>
      </c>
      <c r="D245" s="6" t="s">
        <v>51</v>
      </c>
      <c r="E245" s="6" t="s">
        <v>274</v>
      </c>
      <c r="F245" s="6">
        <v>1</v>
      </c>
      <c r="G245" s="11">
        <v>46211.000009837961</v>
      </c>
      <c r="H245" s="11">
        <v>46234.000009837961</v>
      </c>
      <c r="I245" s="6" t="s">
        <v>91</v>
      </c>
      <c r="J245" s="6" t="b">
        <f>IF(AND(H245&lt;Config!$B$2,I245&lt;&gt;"Approved / IFI"),TRUE,FALSE)</f>
        <v>1</v>
      </c>
      <c r="K245" s="6" t="str">
        <f t="shared" si="3"/>
        <v>Overdue</v>
      </c>
    </row>
    <row r="246" spans="1:11" x14ac:dyDescent="0.25">
      <c r="A246" s="6" t="s">
        <v>800</v>
      </c>
      <c r="B246" s="6" t="s">
        <v>207</v>
      </c>
      <c r="C246" s="6" t="s">
        <v>550</v>
      </c>
      <c r="D246" s="6" t="s">
        <v>51</v>
      </c>
      <c r="E246" s="6" t="s">
        <v>274</v>
      </c>
      <c r="F246" s="6">
        <v>4</v>
      </c>
      <c r="G246" s="11">
        <v>46290.000009837961</v>
      </c>
      <c r="H246" s="11">
        <v>46316.000009837961</v>
      </c>
      <c r="I246" s="6" t="s">
        <v>91</v>
      </c>
      <c r="J246" s="6" t="b">
        <f>IF(AND(H246&lt;Config!$B$2,I246&lt;&gt;"Approved / IFI"),TRUE,FALSE)</f>
        <v>0</v>
      </c>
      <c r="K246" s="6" t="str">
        <f t="shared" si="3"/>
        <v>In Review</v>
      </c>
    </row>
    <row r="247" spans="1:11" x14ac:dyDescent="0.25">
      <c r="A247" s="6" t="s">
        <v>801</v>
      </c>
      <c r="B247" s="6" t="s">
        <v>207</v>
      </c>
      <c r="C247" s="6" t="s">
        <v>802</v>
      </c>
      <c r="D247" s="6" t="s">
        <v>53</v>
      </c>
      <c r="E247" s="6" t="s">
        <v>287</v>
      </c>
      <c r="F247" s="6">
        <v>4</v>
      </c>
      <c r="G247" s="11">
        <v>46233.000009837961</v>
      </c>
      <c r="H247" s="11">
        <v>46272.000009837961</v>
      </c>
      <c r="I247" s="6" t="s">
        <v>91</v>
      </c>
      <c r="J247" s="6" t="b">
        <f>IF(AND(H247&lt;Config!$B$2,I247&lt;&gt;"Approved / IFI"),TRUE,FALSE)</f>
        <v>0</v>
      </c>
      <c r="K247" s="6" t="str">
        <f t="shared" si="3"/>
        <v>In Review</v>
      </c>
    </row>
    <row r="248" spans="1:11" x14ac:dyDescent="0.25">
      <c r="A248" s="6" t="s">
        <v>803</v>
      </c>
      <c r="B248" s="6" t="s">
        <v>207</v>
      </c>
      <c r="C248" s="6" t="s">
        <v>449</v>
      </c>
      <c r="D248" s="6" t="s">
        <v>51</v>
      </c>
      <c r="E248" s="6" t="s">
        <v>162</v>
      </c>
      <c r="F248" s="6">
        <v>4</v>
      </c>
      <c r="G248" s="11">
        <v>46264.000009837961</v>
      </c>
      <c r="H248" s="11">
        <v>46306.000009837961</v>
      </c>
      <c r="I248" s="6" t="s">
        <v>91</v>
      </c>
      <c r="J248" s="6" t="b">
        <f>IF(AND(H248&lt;Config!$B$2,I248&lt;&gt;"Approved / IFI"),TRUE,FALSE)</f>
        <v>0</v>
      </c>
      <c r="K248" s="6" t="str">
        <f t="shared" si="3"/>
        <v>In Review</v>
      </c>
    </row>
    <row r="249" spans="1:11" x14ac:dyDescent="0.25">
      <c r="A249" s="6" t="s">
        <v>804</v>
      </c>
      <c r="B249" s="6" t="s">
        <v>207</v>
      </c>
      <c r="C249" s="6" t="s">
        <v>805</v>
      </c>
      <c r="D249" s="6" t="s">
        <v>50</v>
      </c>
      <c r="E249" s="6" t="s">
        <v>300</v>
      </c>
      <c r="F249" s="6">
        <v>2</v>
      </c>
      <c r="G249" s="11">
        <v>46274.000009837961</v>
      </c>
      <c r="H249" s="11">
        <v>46312.000009837961</v>
      </c>
      <c r="I249" s="6" t="s">
        <v>91</v>
      </c>
      <c r="J249" s="6" t="b">
        <f>IF(AND(H249&lt;Config!$B$2,I249&lt;&gt;"Approved / IFI"),TRUE,FALSE)</f>
        <v>0</v>
      </c>
      <c r="K249" s="6" t="str">
        <f t="shared" si="3"/>
        <v>In Review</v>
      </c>
    </row>
    <row r="250" spans="1:11" x14ac:dyDescent="0.25">
      <c r="A250" s="6" t="s">
        <v>806</v>
      </c>
      <c r="B250" s="6" t="s">
        <v>207</v>
      </c>
      <c r="C250" s="6" t="s">
        <v>562</v>
      </c>
      <c r="D250" s="6" t="s">
        <v>50</v>
      </c>
      <c r="E250" s="6" t="s">
        <v>156</v>
      </c>
      <c r="F250" s="6">
        <v>3</v>
      </c>
      <c r="G250" s="11">
        <v>46209.000009837961</v>
      </c>
      <c r="H250" s="11">
        <v>46244.000009837961</v>
      </c>
      <c r="I250" s="6" t="s">
        <v>91</v>
      </c>
      <c r="J250" s="6" t="b">
        <f>IF(AND(H250&lt;Config!$B$2,I250&lt;&gt;"Approved / IFI"),TRUE,FALSE)</f>
        <v>1</v>
      </c>
      <c r="K250" s="6" t="str">
        <f t="shared" si="3"/>
        <v>Overdue</v>
      </c>
    </row>
    <row r="251" spans="1:11" x14ac:dyDescent="0.25">
      <c r="A251" s="6" t="s">
        <v>807</v>
      </c>
      <c r="B251" s="6" t="s">
        <v>211</v>
      </c>
      <c r="C251" s="6" t="s">
        <v>525</v>
      </c>
      <c r="D251" s="6" t="s">
        <v>54</v>
      </c>
      <c r="E251" s="6" t="s">
        <v>201</v>
      </c>
      <c r="F251" s="6">
        <v>0</v>
      </c>
      <c r="G251" s="11">
        <v>46192.000009837961</v>
      </c>
      <c r="H251" s="11">
        <v>46226.000009837961</v>
      </c>
      <c r="I251" s="6" t="s">
        <v>94</v>
      </c>
      <c r="J251" s="6" t="b">
        <f>IF(AND(H251&lt;Config!$B$2,I251&lt;&gt;"Approved / IFI"),TRUE,FALSE)</f>
        <v>0</v>
      </c>
      <c r="K251" s="6" t="str">
        <f t="shared" si="3"/>
        <v>Complete</v>
      </c>
    </row>
    <row r="252" spans="1:11" x14ac:dyDescent="0.25">
      <c r="A252" s="6" t="s">
        <v>808</v>
      </c>
      <c r="B252" s="6" t="s">
        <v>211</v>
      </c>
      <c r="C252" s="6" t="s">
        <v>525</v>
      </c>
      <c r="D252" s="6" t="s">
        <v>54</v>
      </c>
      <c r="E252" s="6" t="s">
        <v>144</v>
      </c>
      <c r="F252" s="6">
        <v>2</v>
      </c>
      <c r="G252" s="11">
        <v>46152.000009837961</v>
      </c>
      <c r="H252" s="11">
        <v>46180.000009837961</v>
      </c>
      <c r="I252" s="6" t="s">
        <v>94</v>
      </c>
      <c r="J252" s="6" t="b">
        <f>IF(AND(H252&lt;Config!$B$2,I252&lt;&gt;"Approved / IFI"),TRUE,FALSE)</f>
        <v>0</v>
      </c>
      <c r="K252" s="6" t="str">
        <f t="shared" si="3"/>
        <v>Complete</v>
      </c>
    </row>
    <row r="253" spans="1:11" x14ac:dyDescent="0.25">
      <c r="A253" s="6" t="s">
        <v>809</v>
      </c>
      <c r="B253" s="6" t="s">
        <v>211</v>
      </c>
      <c r="C253" s="6" t="s">
        <v>810</v>
      </c>
      <c r="D253" s="6" t="s">
        <v>53</v>
      </c>
      <c r="E253" s="6" t="s">
        <v>156</v>
      </c>
      <c r="F253" s="6">
        <v>2</v>
      </c>
      <c r="G253" s="11">
        <v>46073.000009837961</v>
      </c>
      <c r="H253" s="11">
        <v>46095.000009837961</v>
      </c>
      <c r="I253" s="6" t="s">
        <v>94</v>
      </c>
      <c r="J253" s="6" t="b">
        <f>IF(AND(H253&lt;Config!$B$2,I253&lt;&gt;"Approved / IFI"),TRUE,FALSE)</f>
        <v>0</v>
      </c>
      <c r="K253" s="6" t="str">
        <f t="shared" si="3"/>
        <v>Complete</v>
      </c>
    </row>
    <row r="254" spans="1:11" x14ac:dyDescent="0.25">
      <c r="A254" s="6" t="s">
        <v>811</v>
      </c>
      <c r="B254" s="6" t="s">
        <v>211</v>
      </c>
      <c r="C254" s="6" t="s">
        <v>694</v>
      </c>
      <c r="D254" s="6" t="s">
        <v>50</v>
      </c>
      <c r="E254" s="6" t="s">
        <v>296</v>
      </c>
      <c r="F254" s="6">
        <v>4</v>
      </c>
      <c r="G254" s="11">
        <v>46043.000009837961</v>
      </c>
      <c r="H254" s="11">
        <v>46078.000009837961</v>
      </c>
      <c r="I254" s="6" t="s">
        <v>94</v>
      </c>
      <c r="J254" s="6" t="b">
        <f>IF(AND(H254&lt;Config!$B$2,I254&lt;&gt;"Approved / IFI"),TRUE,FALSE)</f>
        <v>0</v>
      </c>
      <c r="K254" s="6" t="str">
        <f t="shared" si="3"/>
        <v>Complete</v>
      </c>
    </row>
    <row r="255" spans="1:11" x14ac:dyDescent="0.25">
      <c r="A255" s="6" t="s">
        <v>812</v>
      </c>
      <c r="B255" s="6" t="s">
        <v>211</v>
      </c>
      <c r="C255" s="6" t="s">
        <v>531</v>
      </c>
      <c r="D255" s="6" t="s">
        <v>53</v>
      </c>
      <c r="E255" s="6" t="s">
        <v>168</v>
      </c>
      <c r="F255" s="6">
        <v>0</v>
      </c>
      <c r="G255" s="11">
        <v>46149.000009837961</v>
      </c>
      <c r="H255" s="11">
        <v>46169.000009837961</v>
      </c>
      <c r="I255" s="6" t="s">
        <v>94</v>
      </c>
      <c r="J255" s="6" t="b">
        <f>IF(AND(H255&lt;Config!$B$2,I255&lt;&gt;"Approved / IFI"),TRUE,FALSE)</f>
        <v>0</v>
      </c>
      <c r="K255" s="6" t="str">
        <f t="shared" si="3"/>
        <v>Complete</v>
      </c>
    </row>
    <row r="256" spans="1:11" x14ac:dyDescent="0.25">
      <c r="A256" s="6" t="s">
        <v>813</v>
      </c>
      <c r="B256" s="6" t="s">
        <v>211</v>
      </c>
      <c r="C256" s="6" t="s">
        <v>525</v>
      </c>
      <c r="D256" s="6" t="s">
        <v>54</v>
      </c>
      <c r="E256" s="6" t="s">
        <v>144</v>
      </c>
      <c r="F256" s="6">
        <v>0</v>
      </c>
      <c r="G256" s="11">
        <v>46036.000009837961</v>
      </c>
      <c r="H256" s="11">
        <v>46058.000009837961</v>
      </c>
      <c r="I256" s="6" t="s">
        <v>94</v>
      </c>
      <c r="J256" s="6" t="b">
        <f>IF(AND(H256&lt;Config!$B$2,I256&lt;&gt;"Approved / IFI"),TRUE,FALSE)</f>
        <v>0</v>
      </c>
      <c r="K256" s="6" t="str">
        <f t="shared" si="3"/>
        <v>Complete</v>
      </c>
    </row>
    <row r="257" spans="1:11" x14ac:dyDescent="0.25">
      <c r="A257" s="6" t="s">
        <v>814</v>
      </c>
      <c r="B257" s="6" t="s">
        <v>211</v>
      </c>
      <c r="C257" s="6" t="s">
        <v>556</v>
      </c>
      <c r="D257" s="6" t="s">
        <v>52</v>
      </c>
      <c r="E257" s="6" t="s">
        <v>279</v>
      </c>
      <c r="F257" s="6">
        <v>1</v>
      </c>
      <c r="G257" s="11">
        <v>46166.000009837961</v>
      </c>
      <c r="H257" s="11">
        <v>46192.000009837961</v>
      </c>
      <c r="I257" s="6" t="s">
        <v>94</v>
      </c>
      <c r="J257" s="6" t="b">
        <f>IF(AND(H257&lt;Config!$B$2,I257&lt;&gt;"Approved / IFI"),TRUE,FALSE)</f>
        <v>0</v>
      </c>
      <c r="K257" s="6" t="str">
        <f t="shared" si="3"/>
        <v>Complete</v>
      </c>
    </row>
    <row r="258" spans="1:11" x14ac:dyDescent="0.25">
      <c r="A258" s="6" t="s">
        <v>815</v>
      </c>
      <c r="B258" s="6" t="s">
        <v>211</v>
      </c>
      <c r="C258" s="6" t="s">
        <v>544</v>
      </c>
      <c r="D258" s="6" t="s">
        <v>56</v>
      </c>
      <c r="E258" s="6" t="s">
        <v>317</v>
      </c>
      <c r="F258" s="6">
        <v>1</v>
      </c>
      <c r="G258" s="11">
        <v>46146.000009837961</v>
      </c>
      <c r="H258" s="11">
        <v>46173.000009837961</v>
      </c>
      <c r="I258" s="6" t="s">
        <v>94</v>
      </c>
      <c r="J258" s="6" t="b">
        <f>IF(AND(H258&lt;Config!$B$2,I258&lt;&gt;"Approved / IFI"),TRUE,FALSE)</f>
        <v>0</v>
      </c>
      <c r="K258" s="6" t="str">
        <f t="shared" ref="K258:K321" si="4">IF(J258=TRUE,"Overdue",IF(I258="Approved / IFI","Complete",IF(I258="Internal Development","In Progress",IF(I258="Revise &amp; Resubmit","Revise","In Review"))))</f>
        <v>Complete</v>
      </c>
    </row>
    <row r="259" spans="1:11" x14ac:dyDescent="0.25">
      <c r="A259" s="6" t="s">
        <v>816</v>
      </c>
      <c r="B259" s="6" t="s">
        <v>211</v>
      </c>
      <c r="C259" s="6" t="s">
        <v>500</v>
      </c>
      <c r="D259" s="6" t="s">
        <v>50</v>
      </c>
      <c r="E259" s="6" t="s">
        <v>150</v>
      </c>
      <c r="F259" s="6">
        <v>2</v>
      </c>
      <c r="G259" s="11">
        <v>46221.000009837961</v>
      </c>
      <c r="H259" s="11">
        <v>46242.000009837961</v>
      </c>
      <c r="I259" s="6" t="s">
        <v>94</v>
      </c>
      <c r="J259" s="6" t="b">
        <f>IF(AND(H259&lt;Config!$B$2,I259&lt;&gt;"Approved / IFI"),TRUE,FALSE)</f>
        <v>0</v>
      </c>
      <c r="K259" s="6" t="str">
        <f t="shared" si="4"/>
        <v>Complete</v>
      </c>
    </row>
    <row r="260" spans="1:11" x14ac:dyDescent="0.25">
      <c r="A260" s="6" t="s">
        <v>817</v>
      </c>
      <c r="B260" s="6" t="s">
        <v>211</v>
      </c>
      <c r="C260" s="6" t="s">
        <v>818</v>
      </c>
      <c r="D260" s="6" t="s">
        <v>52</v>
      </c>
      <c r="E260" s="6" t="s">
        <v>279</v>
      </c>
      <c r="F260" s="6">
        <v>1</v>
      </c>
      <c r="G260" s="11">
        <v>46101.000009837961</v>
      </c>
      <c r="H260" s="11">
        <v>46114.000009837961</v>
      </c>
      <c r="I260" s="6" t="s">
        <v>94</v>
      </c>
      <c r="J260" s="6" t="b">
        <f>IF(AND(H260&lt;Config!$B$2,I260&lt;&gt;"Approved / IFI"),TRUE,FALSE)</f>
        <v>0</v>
      </c>
      <c r="K260" s="6" t="str">
        <f t="shared" si="4"/>
        <v>Complete</v>
      </c>
    </row>
    <row r="261" spans="1:11" x14ac:dyDescent="0.25">
      <c r="A261" s="6" t="s">
        <v>819</v>
      </c>
      <c r="B261" s="6" t="s">
        <v>211</v>
      </c>
      <c r="C261" s="6" t="s">
        <v>610</v>
      </c>
      <c r="D261" s="6" t="s">
        <v>52</v>
      </c>
      <c r="E261" s="6" t="s">
        <v>306</v>
      </c>
      <c r="F261" s="6">
        <v>1</v>
      </c>
      <c r="G261" s="11">
        <v>46269.000009837961</v>
      </c>
      <c r="H261" s="11">
        <v>46284.000009837961</v>
      </c>
      <c r="I261" s="6" t="s">
        <v>92</v>
      </c>
      <c r="J261" s="6" t="b">
        <f>IF(AND(H261&lt;Config!$B$2,I261&lt;&gt;"Approved / IFI"),TRUE,FALSE)</f>
        <v>0</v>
      </c>
      <c r="K261" s="6" t="str">
        <f t="shared" si="4"/>
        <v>In Review</v>
      </c>
    </row>
    <row r="262" spans="1:11" x14ac:dyDescent="0.25">
      <c r="A262" s="6" t="s">
        <v>820</v>
      </c>
      <c r="B262" s="6" t="s">
        <v>211</v>
      </c>
      <c r="C262" s="6" t="s">
        <v>821</v>
      </c>
      <c r="D262" s="6" t="s">
        <v>51</v>
      </c>
      <c r="E262" s="6" t="s">
        <v>276</v>
      </c>
      <c r="F262" s="6">
        <v>4</v>
      </c>
      <c r="G262" s="11">
        <v>46196.000009837961</v>
      </c>
      <c r="H262" s="11">
        <v>46228.000009837961</v>
      </c>
      <c r="I262" s="6" t="s">
        <v>92</v>
      </c>
      <c r="J262" s="6" t="b">
        <f>IF(AND(H262&lt;Config!$B$2,I262&lt;&gt;"Approved / IFI"),TRUE,FALSE)</f>
        <v>1</v>
      </c>
      <c r="K262" s="6" t="str">
        <f t="shared" si="4"/>
        <v>Overdue</v>
      </c>
    </row>
    <row r="263" spans="1:11" x14ac:dyDescent="0.25">
      <c r="A263" s="6" t="s">
        <v>822</v>
      </c>
      <c r="B263" s="6" t="s">
        <v>211</v>
      </c>
      <c r="C263" s="6" t="s">
        <v>823</v>
      </c>
      <c r="D263" s="6" t="s">
        <v>52</v>
      </c>
      <c r="E263" s="6" t="s">
        <v>304</v>
      </c>
      <c r="F263" s="6">
        <v>1</v>
      </c>
      <c r="G263" s="11">
        <v>46294.000009837961</v>
      </c>
      <c r="H263" s="11">
        <v>46312.000009837961</v>
      </c>
      <c r="I263" s="6" t="s">
        <v>90</v>
      </c>
      <c r="J263" s="6" t="b">
        <f>IF(AND(H263&lt;Config!$B$2,I263&lt;&gt;"Approved / IFI"),TRUE,FALSE)</f>
        <v>0</v>
      </c>
      <c r="K263" s="6" t="str">
        <f t="shared" si="4"/>
        <v>In Progress</v>
      </c>
    </row>
    <row r="264" spans="1:11" x14ac:dyDescent="0.25">
      <c r="A264" s="6" t="s">
        <v>824</v>
      </c>
      <c r="B264" s="6" t="s">
        <v>211</v>
      </c>
      <c r="C264" s="6" t="s">
        <v>531</v>
      </c>
      <c r="D264" s="6" t="s">
        <v>53</v>
      </c>
      <c r="E264" s="6" t="s">
        <v>289</v>
      </c>
      <c r="F264" s="6">
        <v>3</v>
      </c>
      <c r="G264" s="11">
        <v>46275.000009837961</v>
      </c>
      <c r="H264" s="11">
        <v>46312.000009837961</v>
      </c>
      <c r="I264" s="6" t="s">
        <v>91</v>
      </c>
      <c r="J264" s="6" t="b">
        <f>IF(AND(H264&lt;Config!$B$2,I264&lt;&gt;"Approved / IFI"),TRUE,FALSE)</f>
        <v>0</v>
      </c>
      <c r="K264" s="6" t="str">
        <f t="shared" si="4"/>
        <v>In Review</v>
      </c>
    </row>
    <row r="265" spans="1:11" x14ac:dyDescent="0.25">
      <c r="A265" s="6" t="s">
        <v>825</v>
      </c>
      <c r="B265" s="6" t="s">
        <v>211</v>
      </c>
      <c r="C265" s="6" t="s">
        <v>453</v>
      </c>
      <c r="D265" s="6" t="s">
        <v>52</v>
      </c>
      <c r="E265" s="6" t="s">
        <v>304</v>
      </c>
      <c r="F265" s="6">
        <v>2</v>
      </c>
      <c r="G265" s="11">
        <v>46266.000009837961</v>
      </c>
      <c r="H265" s="11">
        <v>46283.000009837961</v>
      </c>
      <c r="I265" s="6" t="s">
        <v>90</v>
      </c>
      <c r="J265" s="6" t="b">
        <f>IF(AND(H265&lt;Config!$B$2,I265&lt;&gt;"Approved / IFI"),TRUE,FALSE)</f>
        <v>0</v>
      </c>
      <c r="K265" s="6" t="str">
        <f t="shared" si="4"/>
        <v>In Progress</v>
      </c>
    </row>
    <row r="266" spans="1:11" x14ac:dyDescent="0.25">
      <c r="A266" s="6" t="s">
        <v>826</v>
      </c>
      <c r="B266" s="6" t="s">
        <v>211</v>
      </c>
      <c r="C266" s="6" t="s">
        <v>556</v>
      </c>
      <c r="D266" s="6" t="s">
        <v>52</v>
      </c>
      <c r="E266" s="6" t="s">
        <v>306</v>
      </c>
      <c r="F266" s="6">
        <v>1</v>
      </c>
      <c r="G266" s="11">
        <v>46271.000009837961</v>
      </c>
      <c r="H266" s="11">
        <v>46314.000009837961</v>
      </c>
      <c r="I266" s="6" t="s">
        <v>93</v>
      </c>
      <c r="J266" s="6" t="b">
        <f>IF(AND(H266&lt;Config!$B$2,I266&lt;&gt;"Approved / IFI"),TRUE,FALSE)</f>
        <v>0</v>
      </c>
      <c r="K266" s="6" t="str">
        <f t="shared" si="4"/>
        <v>Revise</v>
      </c>
    </row>
    <row r="267" spans="1:11" x14ac:dyDescent="0.25">
      <c r="A267" s="6" t="s">
        <v>827</v>
      </c>
      <c r="B267" s="6" t="s">
        <v>214</v>
      </c>
      <c r="C267" s="6" t="s">
        <v>678</v>
      </c>
      <c r="D267" s="6" t="s">
        <v>50</v>
      </c>
      <c r="E267" s="6" t="s">
        <v>298</v>
      </c>
      <c r="F267" s="6">
        <v>1</v>
      </c>
      <c r="G267" s="11">
        <v>46048.000009837961</v>
      </c>
      <c r="H267" s="11">
        <v>46068.000009837961</v>
      </c>
      <c r="I267" s="6" t="s">
        <v>94</v>
      </c>
      <c r="J267" s="6" t="b">
        <f>IF(AND(H267&lt;Config!$B$2,I267&lt;&gt;"Approved / IFI"),TRUE,FALSE)</f>
        <v>0</v>
      </c>
      <c r="K267" s="6" t="str">
        <f t="shared" si="4"/>
        <v>Complete</v>
      </c>
    </row>
    <row r="268" spans="1:11" x14ac:dyDescent="0.25">
      <c r="A268" s="6" t="s">
        <v>828</v>
      </c>
      <c r="B268" s="6" t="s">
        <v>214</v>
      </c>
      <c r="C268" s="6" t="s">
        <v>829</v>
      </c>
      <c r="D268" s="6" t="s">
        <v>56</v>
      </c>
      <c r="E268" s="6" t="s">
        <v>319</v>
      </c>
      <c r="F268" s="6">
        <v>3</v>
      </c>
      <c r="G268" s="11">
        <v>46067.000009837961</v>
      </c>
      <c r="H268" s="11">
        <v>46085.000009837961</v>
      </c>
      <c r="I268" s="6" t="s">
        <v>94</v>
      </c>
      <c r="J268" s="6" t="b">
        <f>IF(AND(H268&lt;Config!$B$2,I268&lt;&gt;"Approved / IFI"),TRUE,FALSE)</f>
        <v>0</v>
      </c>
      <c r="K268" s="6" t="str">
        <f t="shared" si="4"/>
        <v>Complete</v>
      </c>
    </row>
    <row r="269" spans="1:11" x14ac:dyDescent="0.25">
      <c r="A269" s="6" t="s">
        <v>830</v>
      </c>
      <c r="B269" s="6" t="s">
        <v>214</v>
      </c>
      <c r="C269" s="6" t="s">
        <v>504</v>
      </c>
      <c r="D269" s="6" t="s">
        <v>50</v>
      </c>
      <c r="E269" s="6" t="s">
        <v>300</v>
      </c>
      <c r="F269" s="6">
        <v>1</v>
      </c>
      <c r="G269" s="11">
        <v>46080.000009837961</v>
      </c>
      <c r="H269" s="11">
        <v>46090.000009837961</v>
      </c>
      <c r="I269" s="6" t="s">
        <v>94</v>
      </c>
      <c r="J269" s="6" t="b">
        <f>IF(AND(H269&lt;Config!$B$2,I269&lt;&gt;"Approved / IFI"),TRUE,FALSE)</f>
        <v>0</v>
      </c>
      <c r="K269" s="6" t="str">
        <f t="shared" si="4"/>
        <v>Complete</v>
      </c>
    </row>
    <row r="270" spans="1:11" x14ac:dyDescent="0.25">
      <c r="A270" s="6" t="s">
        <v>831</v>
      </c>
      <c r="B270" s="6" t="s">
        <v>214</v>
      </c>
      <c r="C270" s="6" t="s">
        <v>451</v>
      </c>
      <c r="D270" s="6" t="s">
        <v>51</v>
      </c>
      <c r="E270" s="6" t="s">
        <v>276</v>
      </c>
      <c r="F270" s="6">
        <v>3</v>
      </c>
      <c r="G270" s="11">
        <v>46122.000009837961</v>
      </c>
      <c r="H270" s="11">
        <v>46137.000009837961</v>
      </c>
      <c r="I270" s="6" t="s">
        <v>94</v>
      </c>
      <c r="J270" s="6" t="b">
        <f>IF(AND(H270&lt;Config!$B$2,I270&lt;&gt;"Approved / IFI"),TRUE,FALSE)</f>
        <v>0</v>
      </c>
      <c r="K270" s="6" t="str">
        <f t="shared" si="4"/>
        <v>Complete</v>
      </c>
    </row>
    <row r="271" spans="1:11" x14ac:dyDescent="0.25">
      <c r="A271" s="6" t="s">
        <v>832</v>
      </c>
      <c r="B271" s="6" t="s">
        <v>214</v>
      </c>
      <c r="C271" s="6" t="s">
        <v>480</v>
      </c>
      <c r="D271" s="6" t="s">
        <v>56</v>
      </c>
      <c r="E271" s="6" t="s">
        <v>317</v>
      </c>
      <c r="F271" s="6">
        <v>1</v>
      </c>
      <c r="G271" s="11">
        <v>46074.000009837961</v>
      </c>
      <c r="H271" s="11">
        <v>46099.000009837961</v>
      </c>
      <c r="I271" s="6" t="s">
        <v>94</v>
      </c>
      <c r="J271" s="6" t="b">
        <f>IF(AND(H271&lt;Config!$B$2,I271&lt;&gt;"Approved / IFI"),TRUE,FALSE)</f>
        <v>0</v>
      </c>
      <c r="K271" s="6" t="str">
        <f t="shared" si="4"/>
        <v>Complete</v>
      </c>
    </row>
    <row r="272" spans="1:11" x14ac:dyDescent="0.25">
      <c r="A272" s="6" t="s">
        <v>833</v>
      </c>
      <c r="B272" s="6" t="s">
        <v>214</v>
      </c>
      <c r="C272" s="6" t="s">
        <v>834</v>
      </c>
      <c r="D272" s="6" t="s">
        <v>54</v>
      </c>
      <c r="E272" s="6" t="s">
        <v>201</v>
      </c>
      <c r="F272" s="6">
        <v>4</v>
      </c>
      <c r="G272" s="11">
        <v>46135.000009837961</v>
      </c>
      <c r="H272" s="11">
        <v>46174.000009837961</v>
      </c>
      <c r="I272" s="6" t="s">
        <v>94</v>
      </c>
      <c r="J272" s="6" t="b">
        <f>IF(AND(H272&lt;Config!$B$2,I272&lt;&gt;"Approved / IFI"),TRUE,FALSE)</f>
        <v>0</v>
      </c>
      <c r="K272" s="6" t="str">
        <f t="shared" si="4"/>
        <v>Complete</v>
      </c>
    </row>
    <row r="273" spans="1:11" x14ac:dyDescent="0.25">
      <c r="A273" s="6" t="s">
        <v>835</v>
      </c>
      <c r="B273" s="6" t="s">
        <v>214</v>
      </c>
      <c r="C273" s="6" t="s">
        <v>836</v>
      </c>
      <c r="D273" s="6" t="s">
        <v>50</v>
      </c>
      <c r="E273" s="6" t="s">
        <v>300</v>
      </c>
      <c r="F273" s="6">
        <v>4</v>
      </c>
      <c r="G273" s="11">
        <v>46071.000009837961</v>
      </c>
      <c r="H273" s="11">
        <v>46093.000009837961</v>
      </c>
      <c r="I273" s="6" t="s">
        <v>94</v>
      </c>
      <c r="J273" s="6" t="b">
        <f>IF(AND(H273&lt;Config!$B$2,I273&lt;&gt;"Approved / IFI"),TRUE,FALSE)</f>
        <v>0</v>
      </c>
      <c r="K273" s="6" t="str">
        <f t="shared" si="4"/>
        <v>Complete</v>
      </c>
    </row>
    <row r="274" spans="1:11" x14ac:dyDescent="0.25">
      <c r="A274" s="6" t="s">
        <v>837</v>
      </c>
      <c r="B274" s="6" t="s">
        <v>214</v>
      </c>
      <c r="C274" s="6" t="s">
        <v>562</v>
      </c>
      <c r="D274" s="6" t="s">
        <v>50</v>
      </c>
      <c r="E274" s="6" t="s">
        <v>300</v>
      </c>
      <c r="F274" s="6">
        <v>0</v>
      </c>
      <c r="G274" s="11">
        <v>46183.000009837961</v>
      </c>
      <c r="H274" s="11">
        <v>46205.000009837961</v>
      </c>
      <c r="I274" s="6" t="s">
        <v>94</v>
      </c>
      <c r="J274" s="6" t="b">
        <f>IF(AND(H274&lt;Config!$B$2,I274&lt;&gt;"Approved / IFI"),TRUE,FALSE)</f>
        <v>0</v>
      </c>
      <c r="K274" s="6" t="str">
        <f t="shared" si="4"/>
        <v>Complete</v>
      </c>
    </row>
    <row r="275" spans="1:11" x14ac:dyDescent="0.25">
      <c r="A275" s="6" t="s">
        <v>838</v>
      </c>
      <c r="B275" s="6" t="s">
        <v>214</v>
      </c>
      <c r="C275" s="6" t="s">
        <v>581</v>
      </c>
      <c r="D275" s="6" t="s">
        <v>54</v>
      </c>
      <c r="E275" s="6" t="s">
        <v>321</v>
      </c>
      <c r="F275" s="6">
        <v>4</v>
      </c>
      <c r="G275" s="11">
        <v>46075.000009837961</v>
      </c>
      <c r="H275" s="11">
        <v>46103.000009837961</v>
      </c>
      <c r="I275" s="6" t="s">
        <v>94</v>
      </c>
      <c r="J275" s="6" t="b">
        <f>IF(AND(H275&lt;Config!$B$2,I275&lt;&gt;"Approved / IFI"),TRUE,FALSE)</f>
        <v>0</v>
      </c>
      <c r="K275" s="6" t="str">
        <f t="shared" si="4"/>
        <v>Complete</v>
      </c>
    </row>
    <row r="276" spans="1:11" x14ac:dyDescent="0.25">
      <c r="A276" s="6" t="s">
        <v>839</v>
      </c>
      <c r="B276" s="6" t="s">
        <v>214</v>
      </c>
      <c r="C276" s="6" t="s">
        <v>531</v>
      </c>
      <c r="D276" s="6" t="s">
        <v>53</v>
      </c>
      <c r="E276" s="6" t="s">
        <v>287</v>
      </c>
      <c r="F276" s="6">
        <v>0</v>
      </c>
      <c r="G276" s="11">
        <v>46156.000009837961</v>
      </c>
      <c r="H276" s="11">
        <v>46178.000009837961</v>
      </c>
      <c r="I276" s="6" t="s">
        <v>94</v>
      </c>
      <c r="J276" s="6" t="b">
        <f>IF(AND(H276&lt;Config!$B$2,I276&lt;&gt;"Approved / IFI"),TRUE,FALSE)</f>
        <v>0</v>
      </c>
      <c r="K276" s="6" t="str">
        <f t="shared" si="4"/>
        <v>Complete</v>
      </c>
    </row>
    <row r="277" spans="1:11" x14ac:dyDescent="0.25">
      <c r="A277" s="6" t="s">
        <v>840</v>
      </c>
      <c r="B277" s="6" t="s">
        <v>214</v>
      </c>
      <c r="C277" s="6" t="s">
        <v>841</v>
      </c>
      <c r="D277" s="6" t="s">
        <v>55</v>
      </c>
      <c r="E277" s="6" t="s">
        <v>310</v>
      </c>
      <c r="F277" s="6">
        <v>0</v>
      </c>
      <c r="G277" s="11">
        <v>46221.000009837961</v>
      </c>
      <c r="H277" s="11">
        <v>46265.000009837961</v>
      </c>
      <c r="I277" s="6" t="s">
        <v>91</v>
      </c>
      <c r="J277" s="6" t="b">
        <f>IF(AND(H277&lt;Config!$B$2,I277&lt;&gt;"Approved / IFI"),TRUE,FALSE)</f>
        <v>0</v>
      </c>
      <c r="K277" s="6" t="str">
        <f t="shared" si="4"/>
        <v>In Review</v>
      </c>
    </row>
    <row r="278" spans="1:11" x14ac:dyDescent="0.25">
      <c r="A278" s="6" t="s">
        <v>842</v>
      </c>
      <c r="B278" s="6" t="s">
        <v>214</v>
      </c>
      <c r="C278" s="6" t="s">
        <v>707</v>
      </c>
      <c r="D278" s="6" t="s">
        <v>50</v>
      </c>
      <c r="E278" s="6" t="s">
        <v>298</v>
      </c>
      <c r="F278" s="6">
        <v>4</v>
      </c>
      <c r="G278" s="11">
        <v>46233.000009837961</v>
      </c>
      <c r="H278" s="11">
        <v>46266.000009837961</v>
      </c>
      <c r="I278" s="6" t="s">
        <v>92</v>
      </c>
      <c r="J278" s="6" t="b">
        <f>IF(AND(H278&lt;Config!$B$2,I278&lt;&gt;"Approved / IFI"),TRUE,FALSE)</f>
        <v>0</v>
      </c>
      <c r="K278" s="6" t="str">
        <f t="shared" si="4"/>
        <v>In Review</v>
      </c>
    </row>
    <row r="279" spans="1:11" x14ac:dyDescent="0.25">
      <c r="A279" s="6" t="s">
        <v>843</v>
      </c>
      <c r="B279" s="6" t="s">
        <v>214</v>
      </c>
      <c r="C279" s="6" t="s">
        <v>449</v>
      </c>
      <c r="D279" s="6" t="s">
        <v>51</v>
      </c>
      <c r="E279" s="6" t="s">
        <v>274</v>
      </c>
      <c r="F279" s="6">
        <v>0</v>
      </c>
      <c r="G279" s="11">
        <v>46220.000009837961</v>
      </c>
      <c r="H279" s="11">
        <v>46238.000009837961</v>
      </c>
      <c r="I279" s="6" t="s">
        <v>90</v>
      </c>
      <c r="J279" s="6" t="b">
        <f>IF(AND(H279&lt;Config!$B$2,I279&lt;&gt;"Approved / IFI"),TRUE,FALSE)</f>
        <v>1</v>
      </c>
      <c r="K279" s="6" t="str">
        <f t="shared" si="4"/>
        <v>Overdue</v>
      </c>
    </row>
    <row r="280" spans="1:11" x14ac:dyDescent="0.25">
      <c r="A280" s="6" t="s">
        <v>844</v>
      </c>
      <c r="B280" s="6" t="s">
        <v>214</v>
      </c>
      <c r="C280" s="6" t="s">
        <v>845</v>
      </c>
      <c r="D280" s="6" t="s">
        <v>54</v>
      </c>
      <c r="E280" s="6" t="s">
        <v>284</v>
      </c>
      <c r="F280" s="6">
        <v>2</v>
      </c>
      <c r="G280" s="11">
        <v>46298.000009837961</v>
      </c>
      <c r="H280" s="11">
        <v>46321.000009837961</v>
      </c>
      <c r="I280" s="6" t="s">
        <v>91</v>
      </c>
      <c r="J280" s="6" t="b">
        <f>IF(AND(H280&lt;Config!$B$2,I280&lt;&gt;"Approved / IFI"),TRUE,FALSE)</f>
        <v>0</v>
      </c>
      <c r="K280" s="6" t="str">
        <f t="shared" si="4"/>
        <v>In Review</v>
      </c>
    </row>
    <row r="281" spans="1:11" x14ac:dyDescent="0.25">
      <c r="A281" s="6" t="s">
        <v>846</v>
      </c>
      <c r="B281" s="6" t="s">
        <v>214</v>
      </c>
      <c r="C281" s="6" t="s">
        <v>451</v>
      </c>
      <c r="D281" s="6" t="s">
        <v>51</v>
      </c>
      <c r="E281" s="6" t="s">
        <v>292</v>
      </c>
      <c r="F281" s="6">
        <v>3</v>
      </c>
      <c r="G281" s="11">
        <v>46208.000009837961</v>
      </c>
      <c r="H281" s="11">
        <v>46245.000009837961</v>
      </c>
      <c r="I281" s="6" t="s">
        <v>91</v>
      </c>
      <c r="J281" s="6" t="b">
        <f>IF(AND(H281&lt;Config!$B$2,I281&lt;&gt;"Approved / IFI"),TRUE,FALSE)</f>
        <v>1</v>
      </c>
      <c r="K281" s="6" t="str">
        <f t="shared" si="4"/>
        <v>Overdue</v>
      </c>
    </row>
    <row r="282" spans="1:11" x14ac:dyDescent="0.25">
      <c r="A282" s="6" t="s">
        <v>847</v>
      </c>
      <c r="B282" s="6" t="s">
        <v>214</v>
      </c>
      <c r="C282" s="6" t="s">
        <v>451</v>
      </c>
      <c r="D282" s="6" t="s">
        <v>51</v>
      </c>
      <c r="E282" s="6" t="s">
        <v>292</v>
      </c>
      <c r="F282" s="6">
        <v>2</v>
      </c>
      <c r="G282" s="11">
        <v>46213.000009837961</v>
      </c>
      <c r="H282" s="11">
        <v>46255.000009837961</v>
      </c>
      <c r="I282" s="6" t="s">
        <v>91</v>
      </c>
      <c r="J282" s="6" t="b">
        <f>IF(AND(H282&lt;Config!$B$2,I282&lt;&gt;"Approved / IFI"),TRUE,FALSE)</f>
        <v>0</v>
      </c>
      <c r="K282" s="6" t="str">
        <f t="shared" si="4"/>
        <v>In Review</v>
      </c>
    </row>
    <row r="283" spans="1:11" x14ac:dyDescent="0.25">
      <c r="A283" s="6" t="s">
        <v>848</v>
      </c>
      <c r="B283" s="6" t="s">
        <v>214</v>
      </c>
      <c r="C283" s="6" t="s">
        <v>453</v>
      </c>
      <c r="D283" s="6" t="s">
        <v>52</v>
      </c>
      <c r="E283" s="6" t="s">
        <v>302</v>
      </c>
      <c r="F283" s="6">
        <v>4</v>
      </c>
      <c r="G283" s="11">
        <v>46289.000009837961</v>
      </c>
      <c r="H283" s="11">
        <v>46310.000009837961</v>
      </c>
      <c r="I283" s="6" t="s">
        <v>91</v>
      </c>
      <c r="J283" s="6" t="b">
        <f>IF(AND(H283&lt;Config!$B$2,I283&lt;&gt;"Approved / IFI"),TRUE,FALSE)</f>
        <v>0</v>
      </c>
      <c r="K283" s="6" t="str">
        <f t="shared" si="4"/>
        <v>In Review</v>
      </c>
    </row>
    <row r="284" spans="1:11" x14ac:dyDescent="0.25">
      <c r="A284" s="6" t="s">
        <v>849</v>
      </c>
      <c r="B284" s="6" t="s">
        <v>214</v>
      </c>
      <c r="C284" s="6" t="s">
        <v>449</v>
      </c>
      <c r="D284" s="6" t="s">
        <v>51</v>
      </c>
      <c r="E284" s="6" t="s">
        <v>294</v>
      </c>
      <c r="F284" s="6">
        <v>3</v>
      </c>
      <c r="G284" s="11">
        <v>46269.000009837961</v>
      </c>
      <c r="H284" s="11">
        <v>46307.000009837961</v>
      </c>
      <c r="I284" s="6" t="s">
        <v>90</v>
      </c>
      <c r="J284" s="6" t="b">
        <f>IF(AND(H284&lt;Config!$B$2,I284&lt;&gt;"Approved / IFI"),TRUE,FALSE)</f>
        <v>0</v>
      </c>
      <c r="K284" s="6" t="str">
        <f t="shared" si="4"/>
        <v>In Progress</v>
      </c>
    </row>
    <row r="285" spans="1:11" x14ac:dyDescent="0.25">
      <c r="A285" s="6" t="s">
        <v>850</v>
      </c>
      <c r="B285" s="6" t="s">
        <v>214</v>
      </c>
      <c r="C285" s="6" t="s">
        <v>531</v>
      </c>
      <c r="D285" s="6" t="s">
        <v>53</v>
      </c>
      <c r="E285" s="6" t="s">
        <v>289</v>
      </c>
      <c r="F285" s="6">
        <v>0</v>
      </c>
      <c r="G285" s="11">
        <v>46274.000009837961</v>
      </c>
      <c r="H285" s="11">
        <v>46294.000009837961</v>
      </c>
      <c r="I285" s="6" t="s">
        <v>91</v>
      </c>
      <c r="J285" s="6" t="b">
        <f>IF(AND(H285&lt;Config!$B$2,I285&lt;&gt;"Approved / IFI"),TRUE,FALSE)</f>
        <v>0</v>
      </c>
      <c r="K285" s="6" t="str">
        <f t="shared" si="4"/>
        <v>In Review</v>
      </c>
    </row>
    <row r="286" spans="1:11" x14ac:dyDescent="0.25">
      <c r="A286" s="6" t="s">
        <v>851</v>
      </c>
      <c r="B286" s="6" t="s">
        <v>214</v>
      </c>
      <c r="C286" s="6" t="s">
        <v>852</v>
      </c>
      <c r="D286" s="6" t="s">
        <v>56</v>
      </c>
      <c r="E286" s="6" t="s">
        <v>317</v>
      </c>
      <c r="F286" s="6">
        <v>2</v>
      </c>
      <c r="G286" s="11">
        <v>46261.000009837961</v>
      </c>
      <c r="H286" s="11">
        <v>46282.000009837961</v>
      </c>
      <c r="I286" s="6" t="s">
        <v>91</v>
      </c>
      <c r="J286" s="6" t="b">
        <f>IF(AND(H286&lt;Config!$B$2,I286&lt;&gt;"Approved / IFI"),TRUE,FALSE)</f>
        <v>0</v>
      </c>
      <c r="K286" s="6" t="str">
        <f t="shared" si="4"/>
        <v>In Review</v>
      </c>
    </row>
    <row r="287" spans="1:11" x14ac:dyDescent="0.25">
      <c r="A287" s="6" t="s">
        <v>853</v>
      </c>
      <c r="B287" s="6" t="s">
        <v>214</v>
      </c>
      <c r="C287" s="6" t="s">
        <v>646</v>
      </c>
      <c r="D287" s="6" t="s">
        <v>55</v>
      </c>
      <c r="E287" s="6" t="s">
        <v>193</v>
      </c>
      <c r="F287" s="6">
        <v>3</v>
      </c>
      <c r="G287" s="11">
        <v>46248.000009837961</v>
      </c>
      <c r="H287" s="11">
        <v>46270.000009837961</v>
      </c>
      <c r="I287" s="6" t="s">
        <v>92</v>
      </c>
      <c r="J287" s="6" t="b">
        <f>IF(AND(H287&lt;Config!$B$2,I287&lt;&gt;"Approved / IFI"),TRUE,FALSE)</f>
        <v>0</v>
      </c>
      <c r="K287" s="6" t="str">
        <f t="shared" si="4"/>
        <v>In Review</v>
      </c>
    </row>
    <row r="288" spans="1:11" x14ac:dyDescent="0.25">
      <c r="A288" s="6" t="s">
        <v>854</v>
      </c>
      <c r="B288" s="6" t="s">
        <v>214</v>
      </c>
      <c r="C288" s="6" t="s">
        <v>855</v>
      </c>
      <c r="D288" s="6" t="s">
        <v>50</v>
      </c>
      <c r="E288" s="6" t="s">
        <v>156</v>
      </c>
      <c r="F288" s="6">
        <v>3</v>
      </c>
      <c r="G288" s="11">
        <v>46267.000009837961</v>
      </c>
      <c r="H288" s="11">
        <v>46287.000009837961</v>
      </c>
      <c r="I288" s="6" t="s">
        <v>90</v>
      </c>
      <c r="J288" s="6" t="b">
        <f>IF(AND(H288&lt;Config!$B$2,I288&lt;&gt;"Approved / IFI"),TRUE,FALSE)</f>
        <v>0</v>
      </c>
      <c r="K288" s="6" t="str">
        <f t="shared" si="4"/>
        <v>In Progress</v>
      </c>
    </row>
    <row r="289" spans="1:11" x14ac:dyDescent="0.25">
      <c r="A289" s="6" t="s">
        <v>856</v>
      </c>
      <c r="B289" s="6" t="s">
        <v>217</v>
      </c>
      <c r="C289" s="6" t="s">
        <v>684</v>
      </c>
      <c r="D289" s="6" t="s">
        <v>50</v>
      </c>
      <c r="E289" s="6" t="s">
        <v>150</v>
      </c>
      <c r="F289" s="6">
        <v>1</v>
      </c>
      <c r="G289" s="11">
        <v>46124.000009837961</v>
      </c>
      <c r="H289" s="11">
        <v>46146.000009837961</v>
      </c>
      <c r="I289" s="6" t="s">
        <v>94</v>
      </c>
      <c r="J289" s="6" t="b">
        <f>IF(AND(H289&lt;Config!$B$2,I289&lt;&gt;"Approved / IFI"),TRUE,FALSE)</f>
        <v>0</v>
      </c>
      <c r="K289" s="6" t="str">
        <f t="shared" si="4"/>
        <v>Complete</v>
      </c>
    </row>
    <row r="290" spans="1:11" x14ac:dyDescent="0.25">
      <c r="A290" s="6" t="s">
        <v>857</v>
      </c>
      <c r="B290" s="6" t="s">
        <v>217</v>
      </c>
      <c r="C290" s="6" t="s">
        <v>556</v>
      </c>
      <c r="D290" s="6" t="s">
        <v>52</v>
      </c>
      <c r="E290" s="6" t="s">
        <v>306</v>
      </c>
      <c r="F290" s="6">
        <v>0</v>
      </c>
      <c r="G290" s="11">
        <v>46204.000009837961</v>
      </c>
      <c r="H290" s="11">
        <v>46229.000009837961</v>
      </c>
      <c r="I290" s="6" t="s">
        <v>94</v>
      </c>
      <c r="J290" s="6" t="b">
        <f>IF(AND(H290&lt;Config!$B$2,I290&lt;&gt;"Approved / IFI"),TRUE,FALSE)</f>
        <v>0</v>
      </c>
      <c r="K290" s="6" t="str">
        <f t="shared" si="4"/>
        <v>Complete</v>
      </c>
    </row>
    <row r="291" spans="1:11" x14ac:dyDescent="0.25">
      <c r="A291" s="6" t="s">
        <v>858</v>
      </c>
      <c r="B291" s="6" t="s">
        <v>217</v>
      </c>
      <c r="C291" s="6" t="s">
        <v>859</v>
      </c>
      <c r="D291" s="6" t="s">
        <v>54</v>
      </c>
      <c r="E291" s="6" t="s">
        <v>144</v>
      </c>
      <c r="F291" s="6">
        <v>0</v>
      </c>
      <c r="G291" s="11">
        <v>46083.000009837961</v>
      </c>
      <c r="H291" s="11">
        <v>46096.000009837961</v>
      </c>
      <c r="I291" s="6" t="s">
        <v>94</v>
      </c>
      <c r="J291" s="6" t="b">
        <f>IF(AND(H291&lt;Config!$B$2,I291&lt;&gt;"Approved / IFI"),TRUE,FALSE)</f>
        <v>0</v>
      </c>
      <c r="K291" s="6" t="str">
        <f t="shared" si="4"/>
        <v>Complete</v>
      </c>
    </row>
    <row r="292" spans="1:11" x14ac:dyDescent="0.25">
      <c r="A292" s="6" t="s">
        <v>860</v>
      </c>
      <c r="B292" s="6" t="s">
        <v>217</v>
      </c>
      <c r="C292" s="6" t="s">
        <v>550</v>
      </c>
      <c r="D292" s="6" t="s">
        <v>51</v>
      </c>
      <c r="E292" s="6" t="s">
        <v>294</v>
      </c>
      <c r="F292" s="6">
        <v>4</v>
      </c>
      <c r="G292" s="11">
        <v>46180.000009837961</v>
      </c>
      <c r="H292" s="11">
        <v>46209.000009837961</v>
      </c>
      <c r="I292" s="6" t="s">
        <v>94</v>
      </c>
      <c r="J292" s="6" t="b">
        <f>IF(AND(H292&lt;Config!$B$2,I292&lt;&gt;"Approved / IFI"),TRUE,FALSE)</f>
        <v>0</v>
      </c>
      <c r="K292" s="6" t="str">
        <f t="shared" si="4"/>
        <v>Complete</v>
      </c>
    </row>
    <row r="293" spans="1:11" x14ac:dyDescent="0.25">
      <c r="A293" s="6" t="s">
        <v>861</v>
      </c>
      <c r="B293" s="6" t="s">
        <v>217</v>
      </c>
      <c r="C293" s="6" t="s">
        <v>500</v>
      </c>
      <c r="D293" s="6" t="s">
        <v>50</v>
      </c>
      <c r="E293" s="6" t="s">
        <v>300</v>
      </c>
      <c r="F293" s="6">
        <v>3</v>
      </c>
      <c r="G293" s="11">
        <v>46101.000009837961</v>
      </c>
      <c r="H293" s="11">
        <v>46132.000009837961</v>
      </c>
      <c r="I293" s="6" t="s">
        <v>94</v>
      </c>
      <c r="J293" s="6" t="b">
        <f>IF(AND(H293&lt;Config!$B$2,I293&lt;&gt;"Approved / IFI"),TRUE,FALSE)</f>
        <v>0</v>
      </c>
      <c r="K293" s="6" t="str">
        <f t="shared" si="4"/>
        <v>Complete</v>
      </c>
    </row>
    <row r="294" spans="1:11" x14ac:dyDescent="0.25">
      <c r="A294" s="6" t="s">
        <v>862</v>
      </c>
      <c r="B294" s="6" t="s">
        <v>217</v>
      </c>
      <c r="C294" s="6" t="s">
        <v>863</v>
      </c>
      <c r="D294" s="6" t="s">
        <v>50</v>
      </c>
      <c r="E294" s="6" t="s">
        <v>150</v>
      </c>
      <c r="F294" s="6">
        <v>3</v>
      </c>
      <c r="G294" s="11">
        <v>46085.000009837961</v>
      </c>
      <c r="H294" s="11">
        <v>46106.000009837961</v>
      </c>
      <c r="I294" s="6" t="s">
        <v>94</v>
      </c>
      <c r="J294" s="6" t="b">
        <f>IF(AND(H294&lt;Config!$B$2,I294&lt;&gt;"Approved / IFI"),TRUE,FALSE)</f>
        <v>0</v>
      </c>
      <c r="K294" s="6" t="str">
        <f t="shared" si="4"/>
        <v>Complete</v>
      </c>
    </row>
    <row r="295" spans="1:11" x14ac:dyDescent="0.25">
      <c r="A295" s="6" t="s">
        <v>864</v>
      </c>
      <c r="B295" s="6" t="s">
        <v>217</v>
      </c>
      <c r="C295" s="6" t="s">
        <v>471</v>
      </c>
      <c r="D295" s="6" t="s">
        <v>51</v>
      </c>
      <c r="E295" s="6" t="s">
        <v>294</v>
      </c>
      <c r="F295" s="6">
        <v>2</v>
      </c>
      <c r="G295" s="11">
        <v>46057.000009837961</v>
      </c>
      <c r="H295" s="11">
        <v>46068.000009837961</v>
      </c>
      <c r="I295" s="6" t="s">
        <v>94</v>
      </c>
      <c r="J295" s="6" t="b">
        <f>IF(AND(H295&lt;Config!$B$2,I295&lt;&gt;"Approved / IFI"),TRUE,FALSE)</f>
        <v>0</v>
      </c>
      <c r="K295" s="6" t="str">
        <f t="shared" si="4"/>
        <v>Complete</v>
      </c>
    </row>
    <row r="296" spans="1:11" x14ac:dyDescent="0.25">
      <c r="A296" s="6" t="s">
        <v>865</v>
      </c>
      <c r="B296" s="6" t="s">
        <v>217</v>
      </c>
      <c r="C296" s="6" t="s">
        <v>866</v>
      </c>
      <c r="D296" s="6" t="s">
        <v>53</v>
      </c>
      <c r="E296" s="6" t="s">
        <v>287</v>
      </c>
      <c r="F296" s="6">
        <v>2</v>
      </c>
      <c r="G296" s="11">
        <v>46174.000009837961</v>
      </c>
      <c r="H296" s="11">
        <v>46197.000009837961</v>
      </c>
      <c r="I296" s="6" t="s">
        <v>94</v>
      </c>
      <c r="J296" s="6" t="b">
        <f>IF(AND(H296&lt;Config!$B$2,I296&lt;&gt;"Approved / IFI"),TRUE,FALSE)</f>
        <v>0</v>
      </c>
      <c r="K296" s="6" t="str">
        <f t="shared" si="4"/>
        <v>Complete</v>
      </c>
    </row>
    <row r="297" spans="1:11" x14ac:dyDescent="0.25">
      <c r="A297" s="6" t="s">
        <v>867</v>
      </c>
      <c r="B297" s="6" t="s">
        <v>217</v>
      </c>
      <c r="C297" s="6" t="s">
        <v>684</v>
      </c>
      <c r="D297" s="6" t="s">
        <v>50</v>
      </c>
      <c r="E297" s="6" t="s">
        <v>156</v>
      </c>
      <c r="F297" s="6">
        <v>0</v>
      </c>
      <c r="G297" s="11">
        <v>46177.000009837961</v>
      </c>
      <c r="H297" s="11">
        <v>46200.000009837961</v>
      </c>
      <c r="I297" s="6" t="s">
        <v>94</v>
      </c>
      <c r="J297" s="6" t="b">
        <f>IF(AND(H297&lt;Config!$B$2,I297&lt;&gt;"Approved / IFI"),TRUE,FALSE)</f>
        <v>0</v>
      </c>
      <c r="K297" s="6" t="str">
        <f t="shared" si="4"/>
        <v>Complete</v>
      </c>
    </row>
    <row r="298" spans="1:11" x14ac:dyDescent="0.25">
      <c r="A298" s="6" t="s">
        <v>868</v>
      </c>
      <c r="B298" s="6" t="s">
        <v>217</v>
      </c>
      <c r="C298" s="6" t="s">
        <v>869</v>
      </c>
      <c r="D298" s="6" t="s">
        <v>56</v>
      </c>
      <c r="E298" s="6" t="s">
        <v>317</v>
      </c>
      <c r="F298" s="6">
        <v>2</v>
      </c>
      <c r="G298" s="11">
        <v>46156.000009837961</v>
      </c>
      <c r="H298" s="11">
        <v>46169.000009837961</v>
      </c>
      <c r="I298" s="6" t="s">
        <v>94</v>
      </c>
      <c r="J298" s="6" t="b">
        <f>IF(AND(H298&lt;Config!$B$2,I298&lt;&gt;"Approved / IFI"),TRUE,FALSE)</f>
        <v>0</v>
      </c>
      <c r="K298" s="6" t="str">
        <f t="shared" si="4"/>
        <v>Complete</v>
      </c>
    </row>
    <row r="299" spans="1:11" x14ac:dyDescent="0.25">
      <c r="A299" s="6" t="s">
        <v>870</v>
      </c>
      <c r="B299" s="6" t="s">
        <v>217</v>
      </c>
      <c r="C299" s="6" t="s">
        <v>451</v>
      </c>
      <c r="D299" s="6" t="s">
        <v>51</v>
      </c>
      <c r="E299" s="6" t="s">
        <v>274</v>
      </c>
      <c r="F299" s="6">
        <v>3</v>
      </c>
      <c r="G299" s="11">
        <v>46269.000009837961</v>
      </c>
      <c r="H299" s="11">
        <v>46290.000009837961</v>
      </c>
      <c r="I299" s="6" t="s">
        <v>92</v>
      </c>
      <c r="J299" s="6" t="b">
        <f>IF(AND(H299&lt;Config!$B$2,I299&lt;&gt;"Approved / IFI"),TRUE,FALSE)</f>
        <v>0</v>
      </c>
      <c r="K299" s="6" t="str">
        <f t="shared" si="4"/>
        <v>In Review</v>
      </c>
    </row>
    <row r="300" spans="1:11" x14ac:dyDescent="0.25">
      <c r="A300" s="6" t="s">
        <v>871</v>
      </c>
      <c r="B300" s="6" t="s">
        <v>217</v>
      </c>
      <c r="C300" s="6" t="s">
        <v>457</v>
      </c>
      <c r="D300" s="6" t="s">
        <v>52</v>
      </c>
      <c r="E300" s="6" t="s">
        <v>183</v>
      </c>
      <c r="F300" s="6">
        <v>2</v>
      </c>
      <c r="G300" s="11">
        <v>46257.000009837961</v>
      </c>
      <c r="H300" s="11">
        <v>46286.000009837961</v>
      </c>
      <c r="I300" s="6" t="s">
        <v>92</v>
      </c>
      <c r="J300" s="6" t="b">
        <f>IF(AND(H300&lt;Config!$B$2,I300&lt;&gt;"Approved / IFI"),TRUE,FALSE)</f>
        <v>0</v>
      </c>
      <c r="K300" s="6" t="str">
        <f t="shared" si="4"/>
        <v>In Review</v>
      </c>
    </row>
    <row r="301" spans="1:11" x14ac:dyDescent="0.25">
      <c r="A301" s="6" t="s">
        <v>872</v>
      </c>
      <c r="B301" s="6" t="s">
        <v>217</v>
      </c>
      <c r="C301" s="6" t="s">
        <v>519</v>
      </c>
      <c r="D301" s="6" t="s">
        <v>56</v>
      </c>
      <c r="E301" s="6" t="s">
        <v>319</v>
      </c>
      <c r="F301" s="6">
        <v>1</v>
      </c>
      <c r="G301" s="11">
        <v>46247.000009837961</v>
      </c>
      <c r="H301" s="11">
        <v>46288.000009837961</v>
      </c>
      <c r="I301" s="6" t="s">
        <v>90</v>
      </c>
      <c r="J301" s="6" t="b">
        <f>IF(AND(H301&lt;Config!$B$2,I301&lt;&gt;"Approved / IFI"),TRUE,FALSE)</f>
        <v>0</v>
      </c>
      <c r="K301" s="6" t="str">
        <f t="shared" si="4"/>
        <v>In Progress</v>
      </c>
    </row>
    <row r="302" spans="1:11" x14ac:dyDescent="0.25">
      <c r="A302" s="6" t="s">
        <v>873</v>
      </c>
      <c r="B302" s="6" t="s">
        <v>217</v>
      </c>
      <c r="C302" s="6" t="s">
        <v>531</v>
      </c>
      <c r="D302" s="6" t="s">
        <v>53</v>
      </c>
      <c r="E302" s="6" t="s">
        <v>289</v>
      </c>
      <c r="F302" s="6">
        <v>1</v>
      </c>
      <c r="G302" s="11">
        <v>46278.000009837961</v>
      </c>
      <c r="H302" s="11">
        <v>46317.000009837961</v>
      </c>
      <c r="I302" s="6" t="s">
        <v>93</v>
      </c>
      <c r="J302" s="6" t="b">
        <f>IF(AND(H302&lt;Config!$B$2,I302&lt;&gt;"Approved / IFI"),TRUE,FALSE)</f>
        <v>0</v>
      </c>
      <c r="K302" s="6" t="str">
        <f t="shared" si="4"/>
        <v>Revise</v>
      </c>
    </row>
    <row r="303" spans="1:11" x14ac:dyDescent="0.25">
      <c r="A303" s="6" t="s">
        <v>874</v>
      </c>
      <c r="B303" s="6" t="s">
        <v>217</v>
      </c>
      <c r="C303" s="6" t="s">
        <v>471</v>
      </c>
      <c r="D303" s="6" t="s">
        <v>51</v>
      </c>
      <c r="E303" s="6" t="s">
        <v>292</v>
      </c>
      <c r="F303" s="6">
        <v>0</v>
      </c>
      <c r="G303" s="11">
        <v>46222.000009837961</v>
      </c>
      <c r="H303" s="11">
        <v>46265.000009837961</v>
      </c>
      <c r="I303" s="6" t="s">
        <v>90</v>
      </c>
      <c r="J303" s="6" t="b">
        <f>IF(AND(H303&lt;Config!$B$2,I303&lt;&gt;"Approved / IFI"),TRUE,FALSE)</f>
        <v>0</v>
      </c>
      <c r="K303" s="6" t="str">
        <f t="shared" si="4"/>
        <v>In Progress</v>
      </c>
    </row>
    <row r="304" spans="1:11" x14ac:dyDescent="0.25">
      <c r="A304" s="6" t="s">
        <v>875</v>
      </c>
      <c r="B304" s="6" t="s">
        <v>217</v>
      </c>
      <c r="C304" s="6" t="s">
        <v>876</v>
      </c>
      <c r="D304" s="6" t="s">
        <v>50</v>
      </c>
      <c r="E304" s="6" t="s">
        <v>156</v>
      </c>
      <c r="F304" s="6">
        <v>2</v>
      </c>
      <c r="G304" s="11">
        <v>46232.000009837961</v>
      </c>
      <c r="H304" s="11">
        <v>46260.000009837961</v>
      </c>
      <c r="I304" s="6" t="s">
        <v>91</v>
      </c>
      <c r="J304" s="6" t="b">
        <f>IF(AND(H304&lt;Config!$B$2,I304&lt;&gt;"Approved / IFI"),TRUE,FALSE)</f>
        <v>0</v>
      </c>
      <c r="K304" s="6" t="str">
        <f t="shared" si="4"/>
        <v>In Review</v>
      </c>
    </row>
    <row r="305" spans="1:11" x14ac:dyDescent="0.25">
      <c r="A305" s="6" t="s">
        <v>877</v>
      </c>
      <c r="B305" s="6" t="s">
        <v>217</v>
      </c>
      <c r="C305" s="6" t="s">
        <v>541</v>
      </c>
      <c r="D305" s="6" t="s">
        <v>51</v>
      </c>
      <c r="E305" s="6" t="s">
        <v>162</v>
      </c>
      <c r="F305" s="6">
        <v>1</v>
      </c>
      <c r="G305" s="11">
        <v>46257.000009837961</v>
      </c>
      <c r="H305" s="11">
        <v>46283.000009837961</v>
      </c>
      <c r="I305" s="6" t="s">
        <v>90</v>
      </c>
      <c r="J305" s="6" t="b">
        <f>IF(AND(H305&lt;Config!$B$2,I305&lt;&gt;"Approved / IFI"),TRUE,FALSE)</f>
        <v>0</v>
      </c>
      <c r="K305" s="6" t="str">
        <f t="shared" si="4"/>
        <v>In Progress</v>
      </c>
    </row>
    <row r="306" spans="1:11" x14ac:dyDescent="0.25">
      <c r="A306" s="6" t="s">
        <v>878</v>
      </c>
      <c r="B306" s="6" t="s">
        <v>217</v>
      </c>
      <c r="C306" s="6" t="s">
        <v>473</v>
      </c>
      <c r="D306" s="6" t="s">
        <v>53</v>
      </c>
      <c r="E306" s="6" t="s">
        <v>156</v>
      </c>
      <c r="F306" s="6">
        <v>4</v>
      </c>
      <c r="G306" s="11">
        <v>46225.000009837961</v>
      </c>
      <c r="H306" s="11">
        <v>46264.000009837961</v>
      </c>
      <c r="I306" s="6" t="s">
        <v>91</v>
      </c>
      <c r="J306" s="6" t="b">
        <f>IF(AND(H306&lt;Config!$B$2,I306&lt;&gt;"Approved / IFI"),TRUE,FALSE)</f>
        <v>0</v>
      </c>
      <c r="K306" s="6" t="str">
        <f t="shared" si="4"/>
        <v>In Review</v>
      </c>
    </row>
    <row r="307" spans="1:11" x14ac:dyDescent="0.25">
      <c r="A307" s="6" t="s">
        <v>879</v>
      </c>
      <c r="B307" s="6" t="s">
        <v>217</v>
      </c>
      <c r="C307" s="6" t="s">
        <v>504</v>
      </c>
      <c r="D307" s="6" t="s">
        <v>50</v>
      </c>
      <c r="E307" s="6" t="s">
        <v>296</v>
      </c>
      <c r="F307" s="6">
        <v>2</v>
      </c>
      <c r="G307" s="11">
        <v>46279.000009837961</v>
      </c>
      <c r="H307" s="11">
        <v>46303.000009837961</v>
      </c>
      <c r="I307" s="6" t="s">
        <v>92</v>
      </c>
      <c r="J307" s="6" t="b">
        <f>IF(AND(H307&lt;Config!$B$2,I307&lt;&gt;"Approved / IFI"),TRUE,FALSE)</f>
        <v>0</v>
      </c>
      <c r="K307" s="6" t="str">
        <f t="shared" si="4"/>
        <v>In Review</v>
      </c>
    </row>
    <row r="308" spans="1:11" x14ac:dyDescent="0.25">
      <c r="A308" s="6" t="s">
        <v>880</v>
      </c>
      <c r="B308" s="6" t="s">
        <v>217</v>
      </c>
      <c r="C308" s="6" t="s">
        <v>881</v>
      </c>
      <c r="D308" s="6" t="s">
        <v>50</v>
      </c>
      <c r="E308" s="6" t="s">
        <v>156</v>
      </c>
      <c r="F308" s="6">
        <v>2</v>
      </c>
      <c r="G308" s="11">
        <v>46255.000009837961</v>
      </c>
      <c r="H308" s="11">
        <v>46290.000009837961</v>
      </c>
      <c r="I308" s="6" t="s">
        <v>91</v>
      </c>
      <c r="J308" s="6" t="b">
        <f>IF(AND(H308&lt;Config!$B$2,I308&lt;&gt;"Approved / IFI"),TRUE,FALSE)</f>
        <v>0</v>
      </c>
      <c r="K308" s="6" t="str">
        <f t="shared" si="4"/>
        <v>In Review</v>
      </c>
    </row>
    <row r="309" spans="1:11" x14ac:dyDescent="0.25">
      <c r="A309" s="6" t="s">
        <v>882</v>
      </c>
      <c r="B309" s="6" t="s">
        <v>220</v>
      </c>
      <c r="C309" s="6" t="s">
        <v>493</v>
      </c>
      <c r="D309" s="6" t="s">
        <v>54</v>
      </c>
      <c r="E309" s="6" t="s">
        <v>284</v>
      </c>
      <c r="F309" s="6">
        <v>4</v>
      </c>
      <c r="G309" s="11">
        <v>46098.000009837961</v>
      </c>
      <c r="H309" s="11">
        <v>46120.000009837961</v>
      </c>
      <c r="I309" s="6" t="s">
        <v>94</v>
      </c>
      <c r="J309" s="6" t="b">
        <f>IF(AND(H309&lt;Config!$B$2,I309&lt;&gt;"Approved / IFI"),TRUE,FALSE)</f>
        <v>0</v>
      </c>
      <c r="K309" s="6" t="str">
        <f t="shared" si="4"/>
        <v>Complete</v>
      </c>
    </row>
    <row r="310" spans="1:11" x14ac:dyDescent="0.25">
      <c r="A310" s="6" t="s">
        <v>883</v>
      </c>
      <c r="B310" s="6" t="s">
        <v>220</v>
      </c>
      <c r="C310" s="6" t="s">
        <v>701</v>
      </c>
      <c r="D310" s="6" t="s">
        <v>56</v>
      </c>
      <c r="E310" s="6" t="s">
        <v>319</v>
      </c>
      <c r="F310" s="6">
        <v>3</v>
      </c>
      <c r="G310" s="11">
        <v>46045.000009837961</v>
      </c>
      <c r="H310" s="11">
        <v>46083.000009837961</v>
      </c>
      <c r="I310" s="6" t="s">
        <v>94</v>
      </c>
      <c r="J310" s="6" t="b">
        <f>IF(AND(H310&lt;Config!$B$2,I310&lt;&gt;"Approved / IFI"),TRUE,FALSE)</f>
        <v>0</v>
      </c>
      <c r="K310" s="6" t="str">
        <f t="shared" si="4"/>
        <v>Complete</v>
      </c>
    </row>
    <row r="311" spans="1:11" x14ac:dyDescent="0.25">
      <c r="A311" s="6" t="s">
        <v>884</v>
      </c>
      <c r="B311" s="6" t="s">
        <v>220</v>
      </c>
      <c r="C311" s="6" t="s">
        <v>531</v>
      </c>
      <c r="D311" s="6" t="s">
        <v>53</v>
      </c>
      <c r="E311" s="6" t="s">
        <v>287</v>
      </c>
      <c r="F311" s="6">
        <v>0</v>
      </c>
      <c r="G311" s="11">
        <v>46081.000009837961</v>
      </c>
      <c r="H311" s="11">
        <v>46093.000009837961</v>
      </c>
      <c r="I311" s="6" t="s">
        <v>94</v>
      </c>
      <c r="J311" s="6" t="b">
        <f>IF(AND(H311&lt;Config!$B$2,I311&lt;&gt;"Approved / IFI"),TRUE,FALSE)</f>
        <v>0</v>
      </c>
      <c r="K311" s="6" t="str">
        <f t="shared" si="4"/>
        <v>Complete</v>
      </c>
    </row>
    <row r="312" spans="1:11" x14ac:dyDescent="0.25">
      <c r="A312" s="6" t="s">
        <v>885</v>
      </c>
      <c r="B312" s="6" t="s">
        <v>220</v>
      </c>
      <c r="C312" s="6" t="s">
        <v>531</v>
      </c>
      <c r="D312" s="6" t="s">
        <v>53</v>
      </c>
      <c r="E312" s="6" t="s">
        <v>287</v>
      </c>
      <c r="F312" s="6">
        <v>1</v>
      </c>
      <c r="G312" s="11">
        <v>46171.000009837961</v>
      </c>
      <c r="H312" s="11">
        <v>46209.000009837961</v>
      </c>
      <c r="I312" s="6" t="s">
        <v>94</v>
      </c>
      <c r="J312" s="6" t="b">
        <f>IF(AND(H312&lt;Config!$B$2,I312&lt;&gt;"Approved / IFI"),TRUE,FALSE)</f>
        <v>0</v>
      </c>
      <c r="K312" s="6" t="str">
        <f t="shared" si="4"/>
        <v>Complete</v>
      </c>
    </row>
    <row r="313" spans="1:11" x14ac:dyDescent="0.25">
      <c r="A313" s="6" t="s">
        <v>886</v>
      </c>
      <c r="B313" s="6" t="s">
        <v>220</v>
      </c>
      <c r="C313" s="6" t="s">
        <v>484</v>
      </c>
      <c r="D313" s="6" t="s">
        <v>52</v>
      </c>
      <c r="E313" s="6" t="s">
        <v>302</v>
      </c>
      <c r="F313" s="6">
        <v>3</v>
      </c>
      <c r="G313" s="11">
        <v>46190.000009837961</v>
      </c>
      <c r="H313" s="11">
        <v>46221.000009837961</v>
      </c>
      <c r="I313" s="6" t="s">
        <v>94</v>
      </c>
      <c r="J313" s="6" t="b">
        <f>IF(AND(H313&lt;Config!$B$2,I313&lt;&gt;"Approved / IFI"),TRUE,FALSE)</f>
        <v>0</v>
      </c>
      <c r="K313" s="6" t="str">
        <f t="shared" si="4"/>
        <v>Complete</v>
      </c>
    </row>
    <row r="314" spans="1:11" x14ac:dyDescent="0.25">
      <c r="A314" s="6" t="s">
        <v>887</v>
      </c>
      <c r="B314" s="6" t="s">
        <v>220</v>
      </c>
      <c r="C314" s="6" t="s">
        <v>482</v>
      </c>
      <c r="D314" s="6" t="s">
        <v>50</v>
      </c>
      <c r="E314" s="6" t="s">
        <v>298</v>
      </c>
      <c r="F314" s="6">
        <v>4</v>
      </c>
      <c r="G314" s="11">
        <v>46175.000009837961</v>
      </c>
      <c r="H314" s="11">
        <v>46205.000009837961</v>
      </c>
      <c r="I314" s="6" t="s">
        <v>94</v>
      </c>
      <c r="J314" s="6" t="b">
        <f>IF(AND(H314&lt;Config!$B$2,I314&lt;&gt;"Approved / IFI"),TRUE,FALSE)</f>
        <v>0</v>
      </c>
      <c r="K314" s="6" t="str">
        <f t="shared" si="4"/>
        <v>Complete</v>
      </c>
    </row>
    <row r="315" spans="1:11" x14ac:dyDescent="0.25">
      <c r="A315" s="6" t="s">
        <v>888</v>
      </c>
      <c r="B315" s="6" t="s">
        <v>220</v>
      </c>
      <c r="C315" s="6" t="s">
        <v>480</v>
      </c>
      <c r="D315" s="6" t="s">
        <v>56</v>
      </c>
      <c r="E315" s="6" t="s">
        <v>319</v>
      </c>
      <c r="F315" s="6">
        <v>4</v>
      </c>
      <c r="G315" s="11">
        <v>46056.000009837961</v>
      </c>
      <c r="H315" s="11">
        <v>46092.000009837961</v>
      </c>
      <c r="I315" s="6" t="s">
        <v>94</v>
      </c>
      <c r="J315" s="6" t="b">
        <f>IF(AND(H315&lt;Config!$B$2,I315&lt;&gt;"Approved / IFI"),TRUE,FALSE)</f>
        <v>0</v>
      </c>
      <c r="K315" s="6" t="str">
        <f t="shared" si="4"/>
        <v>Complete</v>
      </c>
    </row>
    <row r="316" spans="1:11" x14ac:dyDescent="0.25">
      <c r="A316" s="6" t="s">
        <v>889</v>
      </c>
      <c r="B316" s="6" t="s">
        <v>220</v>
      </c>
      <c r="C316" s="6" t="s">
        <v>635</v>
      </c>
      <c r="D316" s="6" t="s">
        <v>55</v>
      </c>
      <c r="E316" s="6" t="s">
        <v>193</v>
      </c>
      <c r="F316" s="6">
        <v>3</v>
      </c>
      <c r="G316" s="11">
        <v>46097.000009837961</v>
      </c>
      <c r="H316" s="11">
        <v>46133.000009837961</v>
      </c>
      <c r="I316" s="6" t="s">
        <v>94</v>
      </c>
      <c r="J316" s="6" t="b">
        <f>IF(AND(H316&lt;Config!$B$2,I316&lt;&gt;"Approved / IFI"),TRUE,FALSE)</f>
        <v>0</v>
      </c>
      <c r="K316" s="6" t="str">
        <f t="shared" si="4"/>
        <v>Complete</v>
      </c>
    </row>
    <row r="317" spans="1:11" x14ac:dyDescent="0.25">
      <c r="A317" s="6" t="s">
        <v>890</v>
      </c>
      <c r="B317" s="6" t="s">
        <v>220</v>
      </c>
      <c r="C317" s="6" t="s">
        <v>511</v>
      </c>
      <c r="D317" s="6" t="s">
        <v>54</v>
      </c>
      <c r="E317" s="6" t="s">
        <v>321</v>
      </c>
      <c r="F317" s="6">
        <v>3</v>
      </c>
      <c r="G317" s="11">
        <v>46151.000009837961</v>
      </c>
      <c r="H317" s="11">
        <v>46177.000009837961</v>
      </c>
      <c r="I317" s="6" t="s">
        <v>94</v>
      </c>
      <c r="J317" s="6" t="b">
        <f>IF(AND(H317&lt;Config!$B$2,I317&lt;&gt;"Approved / IFI"),TRUE,FALSE)</f>
        <v>0</v>
      </c>
      <c r="K317" s="6" t="str">
        <f t="shared" si="4"/>
        <v>Complete</v>
      </c>
    </row>
    <row r="318" spans="1:11" x14ac:dyDescent="0.25">
      <c r="A318" s="6" t="s">
        <v>891</v>
      </c>
      <c r="B318" s="6" t="s">
        <v>220</v>
      </c>
      <c r="C318" s="6" t="s">
        <v>525</v>
      </c>
      <c r="D318" s="6" t="s">
        <v>54</v>
      </c>
      <c r="E318" s="6" t="s">
        <v>144</v>
      </c>
      <c r="F318" s="6">
        <v>1</v>
      </c>
      <c r="G318" s="11">
        <v>46098.000009837961</v>
      </c>
      <c r="H318" s="11">
        <v>46113.000009837961</v>
      </c>
      <c r="I318" s="6" t="s">
        <v>94</v>
      </c>
      <c r="J318" s="6" t="b">
        <f>IF(AND(H318&lt;Config!$B$2,I318&lt;&gt;"Approved / IFI"),TRUE,FALSE)</f>
        <v>0</v>
      </c>
      <c r="K318" s="6" t="str">
        <f t="shared" si="4"/>
        <v>Complete</v>
      </c>
    </row>
    <row r="319" spans="1:11" x14ac:dyDescent="0.25">
      <c r="A319" s="6" t="s">
        <v>892</v>
      </c>
      <c r="B319" s="6" t="s">
        <v>220</v>
      </c>
      <c r="C319" s="6" t="s">
        <v>893</v>
      </c>
      <c r="D319" s="6" t="s">
        <v>54</v>
      </c>
      <c r="E319" s="6" t="s">
        <v>284</v>
      </c>
      <c r="F319" s="6">
        <v>3</v>
      </c>
      <c r="G319" s="11">
        <v>46041.000009837961</v>
      </c>
      <c r="H319" s="11">
        <v>46055.000009837961</v>
      </c>
      <c r="I319" s="6" t="s">
        <v>94</v>
      </c>
      <c r="J319" s="6" t="b">
        <f>IF(AND(H319&lt;Config!$B$2,I319&lt;&gt;"Approved / IFI"),TRUE,FALSE)</f>
        <v>0</v>
      </c>
      <c r="K319" s="6" t="str">
        <f t="shared" si="4"/>
        <v>Complete</v>
      </c>
    </row>
    <row r="320" spans="1:11" x14ac:dyDescent="0.25">
      <c r="A320" s="6" t="s">
        <v>894</v>
      </c>
      <c r="B320" s="6" t="s">
        <v>220</v>
      </c>
      <c r="C320" s="6" t="s">
        <v>602</v>
      </c>
      <c r="D320" s="6" t="s">
        <v>51</v>
      </c>
      <c r="E320" s="6" t="s">
        <v>294</v>
      </c>
      <c r="F320" s="6">
        <v>0</v>
      </c>
      <c r="G320" s="11">
        <v>46236.000009837961</v>
      </c>
      <c r="H320" s="11">
        <v>46270.000009837961</v>
      </c>
      <c r="I320" s="6" t="s">
        <v>90</v>
      </c>
      <c r="J320" s="6" t="b">
        <f>IF(AND(H320&lt;Config!$B$2,I320&lt;&gt;"Approved / IFI"),TRUE,FALSE)</f>
        <v>0</v>
      </c>
      <c r="K320" s="6" t="str">
        <f t="shared" si="4"/>
        <v>In Progress</v>
      </c>
    </row>
    <row r="321" spans="1:11" x14ac:dyDescent="0.25">
      <c r="A321" s="6" t="s">
        <v>895</v>
      </c>
      <c r="B321" s="6" t="s">
        <v>220</v>
      </c>
      <c r="C321" s="6" t="s">
        <v>482</v>
      </c>
      <c r="D321" s="6" t="s">
        <v>50</v>
      </c>
      <c r="E321" s="6" t="s">
        <v>298</v>
      </c>
      <c r="F321" s="6">
        <v>0</v>
      </c>
      <c r="G321" s="11">
        <v>46240.000009837961</v>
      </c>
      <c r="H321" s="11">
        <v>46279.000009837961</v>
      </c>
      <c r="I321" s="6" t="s">
        <v>91</v>
      </c>
      <c r="J321" s="6" t="b">
        <f>IF(AND(H321&lt;Config!$B$2,I321&lt;&gt;"Approved / IFI"),TRUE,FALSE)</f>
        <v>0</v>
      </c>
      <c r="K321" s="6" t="str">
        <f t="shared" si="4"/>
        <v>In Review</v>
      </c>
    </row>
    <row r="322" spans="1:11" x14ac:dyDescent="0.25">
      <c r="A322" s="6" t="s">
        <v>896</v>
      </c>
      <c r="B322" s="6" t="s">
        <v>220</v>
      </c>
      <c r="C322" s="6" t="s">
        <v>897</v>
      </c>
      <c r="D322" s="6" t="s">
        <v>51</v>
      </c>
      <c r="E322" s="6" t="s">
        <v>292</v>
      </c>
      <c r="F322" s="6">
        <v>2</v>
      </c>
      <c r="G322" s="11">
        <v>46237.000009837961</v>
      </c>
      <c r="H322" s="11">
        <v>46272.000009837961</v>
      </c>
      <c r="I322" s="6" t="s">
        <v>90</v>
      </c>
      <c r="J322" s="6" t="b">
        <f>IF(AND(H322&lt;Config!$B$2,I322&lt;&gt;"Approved / IFI"),TRUE,FALSE)</f>
        <v>0</v>
      </c>
      <c r="K322" s="6" t="str">
        <f t="shared" ref="K322:K385" si="5">IF(J322=TRUE,"Overdue",IF(I322="Approved / IFI","Complete",IF(I322="Internal Development","In Progress",IF(I322="Revise &amp; Resubmit","Revise","In Review"))))</f>
        <v>In Progress</v>
      </c>
    </row>
    <row r="323" spans="1:11" x14ac:dyDescent="0.25">
      <c r="A323" s="6" t="s">
        <v>898</v>
      </c>
      <c r="B323" s="6" t="s">
        <v>220</v>
      </c>
      <c r="C323" s="6" t="s">
        <v>504</v>
      </c>
      <c r="D323" s="6" t="s">
        <v>50</v>
      </c>
      <c r="E323" s="6" t="s">
        <v>137</v>
      </c>
      <c r="F323" s="6">
        <v>0</v>
      </c>
      <c r="G323" s="11">
        <v>46266.000009837961</v>
      </c>
      <c r="H323" s="11">
        <v>46288.000009837961</v>
      </c>
      <c r="I323" s="6" t="s">
        <v>92</v>
      </c>
      <c r="J323" s="6" t="b">
        <f>IF(AND(H323&lt;Config!$B$2,I323&lt;&gt;"Approved / IFI"),TRUE,FALSE)</f>
        <v>0</v>
      </c>
      <c r="K323" s="6" t="str">
        <f t="shared" si="5"/>
        <v>In Review</v>
      </c>
    </row>
    <row r="324" spans="1:11" x14ac:dyDescent="0.25">
      <c r="A324" s="6" t="s">
        <v>899</v>
      </c>
      <c r="B324" s="6" t="s">
        <v>220</v>
      </c>
      <c r="C324" s="6" t="s">
        <v>900</v>
      </c>
      <c r="D324" s="6" t="s">
        <v>53</v>
      </c>
      <c r="E324" s="6" t="s">
        <v>289</v>
      </c>
      <c r="F324" s="6">
        <v>1</v>
      </c>
      <c r="G324" s="11">
        <v>46250.000009837961</v>
      </c>
      <c r="H324" s="11">
        <v>46285.000009837961</v>
      </c>
      <c r="I324" s="6" t="s">
        <v>91</v>
      </c>
      <c r="J324" s="6" t="b">
        <f>IF(AND(H324&lt;Config!$B$2,I324&lt;&gt;"Approved / IFI"),TRUE,FALSE)</f>
        <v>0</v>
      </c>
      <c r="K324" s="6" t="str">
        <f t="shared" si="5"/>
        <v>In Review</v>
      </c>
    </row>
    <row r="325" spans="1:11" x14ac:dyDescent="0.25">
      <c r="A325" s="6" t="s">
        <v>901</v>
      </c>
      <c r="B325" s="6" t="s">
        <v>220</v>
      </c>
      <c r="C325" s="6" t="s">
        <v>581</v>
      </c>
      <c r="D325" s="6" t="s">
        <v>54</v>
      </c>
      <c r="E325" s="6" t="s">
        <v>321</v>
      </c>
      <c r="F325" s="6">
        <v>4</v>
      </c>
      <c r="G325" s="11">
        <v>46242.000009837961</v>
      </c>
      <c r="H325" s="11">
        <v>46262.000009837961</v>
      </c>
      <c r="I325" s="6" t="s">
        <v>91</v>
      </c>
      <c r="J325" s="6" t="b">
        <f>IF(AND(H325&lt;Config!$B$2,I325&lt;&gt;"Approved / IFI"),TRUE,FALSE)</f>
        <v>0</v>
      </c>
      <c r="K325" s="6" t="str">
        <f t="shared" si="5"/>
        <v>In Review</v>
      </c>
    </row>
    <row r="326" spans="1:11" x14ac:dyDescent="0.25">
      <c r="A326" s="6" t="s">
        <v>902</v>
      </c>
      <c r="B326" s="6" t="s">
        <v>224</v>
      </c>
      <c r="C326" s="6" t="s">
        <v>903</v>
      </c>
      <c r="D326" s="6" t="s">
        <v>51</v>
      </c>
      <c r="E326" s="6" t="s">
        <v>294</v>
      </c>
      <c r="F326" s="6">
        <v>1</v>
      </c>
      <c r="G326" s="11">
        <v>46037.000009837961</v>
      </c>
      <c r="H326" s="11">
        <v>46072.000009837961</v>
      </c>
      <c r="I326" s="6" t="s">
        <v>94</v>
      </c>
      <c r="J326" s="6" t="b">
        <f>IF(AND(H326&lt;Config!$B$2,I326&lt;&gt;"Approved / IFI"),TRUE,FALSE)</f>
        <v>0</v>
      </c>
      <c r="K326" s="6" t="str">
        <f t="shared" si="5"/>
        <v>Complete</v>
      </c>
    </row>
    <row r="327" spans="1:11" x14ac:dyDescent="0.25">
      <c r="A327" s="6" t="s">
        <v>904</v>
      </c>
      <c r="B327" s="6" t="s">
        <v>224</v>
      </c>
      <c r="C327" s="6" t="s">
        <v>541</v>
      </c>
      <c r="D327" s="6" t="s">
        <v>51</v>
      </c>
      <c r="E327" s="6" t="s">
        <v>276</v>
      </c>
      <c r="F327" s="6">
        <v>3</v>
      </c>
      <c r="G327" s="11">
        <v>46062.000009837961</v>
      </c>
      <c r="H327" s="11">
        <v>46101.000009837961</v>
      </c>
      <c r="I327" s="6" t="s">
        <v>94</v>
      </c>
      <c r="J327" s="6" t="b">
        <f>IF(AND(H327&lt;Config!$B$2,I327&lt;&gt;"Approved / IFI"),TRUE,FALSE)</f>
        <v>0</v>
      </c>
      <c r="K327" s="6" t="str">
        <f t="shared" si="5"/>
        <v>Complete</v>
      </c>
    </row>
    <row r="328" spans="1:11" x14ac:dyDescent="0.25">
      <c r="A328" s="6" t="s">
        <v>905</v>
      </c>
      <c r="B328" s="6" t="s">
        <v>224</v>
      </c>
      <c r="C328" s="6" t="s">
        <v>906</v>
      </c>
      <c r="D328" s="6" t="s">
        <v>52</v>
      </c>
      <c r="E328" s="6" t="s">
        <v>183</v>
      </c>
      <c r="F328" s="6">
        <v>4</v>
      </c>
      <c r="G328" s="11">
        <v>46189.000009837961</v>
      </c>
      <c r="H328" s="11">
        <v>46200.000009837961</v>
      </c>
      <c r="I328" s="6" t="s">
        <v>94</v>
      </c>
      <c r="J328" s="6" t="b">
        <f>IF(AND(H328&lt;Config!$B$2,I328&lt;&gt;"Approved / IFI"),TRUE,FALSE)</f>
        <v>0</v>
      </c>
      <c r="K328" s="6" t="str">
        <f t="shared" si="5"/>
        <v>Complete</v>
      </c>
    </row>
    <row r="329" spans="1:11" x14ac:dyDescent="0.25">
      <c r="A329" s="6" t="s">
        <v>907</v>
      </c>
      <c r="B329" s="6" t="s">
        <v>224</v>
      </c>
      <c r="C329" s="6" t="s">
        <v>463</v>
      </c>
      <c r="D329" s="6" t="s">
        <v>54</v>
      </c>
      <c r="E329" s="6" t="s">
        <v>321</v>
      </c>
      <c r="F329" s="6">
        <v>2</v>
      </c>
      <c r="G329" s="11">
        <v>46118.000009837961</v>
      </c>
      <c r="H329" s="11">
        <v>46148.000009837961</v>
      </c>
      <c r="I329" s="6" t="s">
        <v>94</v>
      </c>
      <c r="J329" s="6" t="b">
        <f>IF(AND(H329&lt;Config!$B$2,I329&lt;&gt;"Approved / IFI"),TRUE,FALSE)</f>
        <v>0</v>
      </c>
      <c r="K329" s="6" t="str">
        <f t="shared" si="5"/>
        <v>Complete</v>
      </c>
    </row>
    <row r="330" spans="1:11" x14ac:dyDescent="0.25">
      <c r="A330" s="6" t="s">
        <v>908</v>
      </c>
      <c r="B330" s="6" t="s">
        <v>224</v>
      </c>
      <c r="C330" s="6" t="s">
        <v>694</v>
      </c>
      <c r="D330" s="6" t="s">
        <v>50</v>
      </c>
      <c r="E330" s="6" t="s">
        <v>296</v>
      </c>
      <c r="F330" s="6">
        <v>0</v>
      </c>
      <c r="G330" s="11">
        <v>46126.000009837961</v>
      </c>
      <c r="H330" s="11">
        <v>46161.000009837961</v>
      </c>
      <c r="I330" s="6" t="s">
        <v>94</v>
      </c>
      <c r="J330" s="6" t="b">
        <f>IF(AND(H330&lt;Config!$B$2,I330&lt;&gt;"Approved / IFI"),TRUE,FALSE)</f>
        <v>0</v>
      </c>
      <c r="K330" s="6" t="str">
        <f t="shared" si="5"/>
        <v>Complete</v>
      </c>
    </row>
    <row r="331" spans="1:11" x14ac:dyDescent="0.25">
      <c r="A331" s="6" t="s">
        <v>909</v>
      </c>
      <c r="B331" s="6" t="s">
        <v>224</v>
      </c>
      <c r="C331" s="6" t="s">
        <v>533</v>
      </c>
      <c r="D331" s="6" t="s">
        <v>55</v>
      </c>
      <c r="E331" s="6" t="s">
        <v>193</v>
      </c>
      <c r="F331" s="6">
        <v>3</v>
      </c>
      <c r="G331" s="11">
        <v>46083.000009837961</v>
      </c>
      <c r="H331" s="11">
        <v>46114.000009837961</v>
      </c>
      <c r="I331" s="6" t="s">
        <v>94</v>
      </c>
      <c r="J331" s="6" t="b">
        <f>IF(AND(H331&lt;Config!$B$2,I331&lt;&gt;"Approved / IFI"),TRUE,FALSE)</f>
        <v>0</v>
      </c>
      <c r="K331" s="6" t="str">
        <f t="shared" si="5"/>
        <v>Complete</v>
      </c>
    </row>
    <row r="332" spans="1:11" x14ac:dyDescent="0.25">
      <c r="A332" s="6" t="s">
        <v>910</v>
      </c>
      <c r="B332" s="6" t="s">
        <v>224</v>
      </c>
      <c r="C332" s="6" t="s">
        <v>911</v>
      </c>
      <c r="D332" s="6" t="s">
        <v>52</v>
      </c>
      <c r="E332" s="6" t="s">
        <v>306</v>
      </c>
      <c r="F332" s="6">
        <v>3</v>
      </c>
      <c r="G332" s="11">
        <v>46139.000009837961</v>
      </c>
      <c r="H332" s="11">
        <v>46167.000009837961</v>
      </c>
      <c r="I332" s="6" t="s">
        <v>94</v>
      </c>
      <c r="J332" s="6" t="b">
        <f>IF(AND(H332&lt;Config!$B$2,I332&lt;&gt;"Approved / IFI"),TRUE,FALSE)</f>
        <v>0</v>
      </c>
      <c r="K332" s="6" t="str">
        <f t="shared" si="5"/>
        <v>Complete</v>
      </c>
    </row>
    <row r="333" spans="1:11" x14ac:dyDescent="0.25">
      <c r="A333" s="6" t="s">
        <v>912</v>
      </c>
      <c r="B333" s="6" t="s">
        <v>224</v>
      </c>
      <c r="C333" s="6" t="s">
        <v>903</v>
      </c>
      <c r="D333" s="6" t="s">
        <v>51</v>
      </c>
      <c r="E333" s="6" t="s">
        <v>292</v>
      </c>
      <c r="F333" s="6">
        <v>0</v>
      </c>
      <c r="G333" s="11">
        <v>46164.000009837961</v>
      </c>
      <c r="H333" s="11">
        <v>46177.000009837961</v>
      </c>
      <c r="I333" s="6" t="s">
        <v>94</v>
      </c>
      <c r="J333" s="6" t="b">
        <f>IF(AND(H333&lt;Config!$B$2,I333&lt;&gt;"Approved / IFI"),TRUE,FALSE)</f>
        <v>0</v>
      </c>
      <c r="K333" s="6" t="str">
        <f t="shared" si="5"/>
        <v>Complete</v>
      </c>
    </row>
    <row r="334" spans="1:11" x14ac:dyDescent="0.25">
      <c r="A334" s="6" t="s">
        <v>913</v>
      </c>
      <c r="B334" s="6" t="s">
        <v>224</v>
      </c>
      <c r="C334" s="6" t="s">
        <v>550</v>
      </c>
      <c r="D334" s="6" t="s">
        <v>51</v>
      </c>
      <c r="E334" s="6" t="s">
        <v>276</v>
      </c>
      <c r="F334" s="6">
        <v>3</v>
      </c>
      <c r="G334" s="11">
        <v>46261.000009837961</v>
      </c>
      <c r="H334" s="11">
        <v>46303.000009837961</v>
      </c>
      <c r="I334" s="6" t="s">
        <v>92</v>
      </c>
      <c r="J334" s="6" t="b">
        <f>IF(AND(H334&lt;Config!$B$2,I334&lt;&gt;"Approved / IFI"),TRUE,FALSE)</f>
        <v>0</v>
      </c>
      <c r="K334" s="6" t="str">
        <f t="shared" si="5"/>
        <v>In Review</v>
      </c>
    </row>
    <row r="335" spans="1:11" x14ac:dyDescent="0.25">
      <c r="A335" s="6" t="s">
        <v>914</v>
      </c>
      <c r="B335" s="6" t="s">
        <v>224</v>
      </c>
      <c r="C335" s="6" t="s">
        <v>525</v>
      </c>
      <c r="D335" s="6" t="s">
        <v>54</v>
      </c>
      <c r="E335" s="6" t="s">
        <v>144</v>
      </c>
      <c r="F335" s="6">
        <v>4</v>
      </c>
      <c r="G335" s="11">
        <v>46275.000009837961</v>
      </c>
      <c r="H335" s="11">
        <v>46315.000009837961</v>
      </c>
      <c r="I335" s="6" t="s">
        <v>93</v>
      </c>
      <c r="J335" s="6" t="b">
        <f>IF(AND(H335&lt;Config!$B$2,I335&lt;&gt;"Approved / IFI"),TRUE,FALSE)</f>
        <v>0</v>
      </c>
      <c r="K335" s="6" t="str">
        <f t="shared" si="5"/>
        <v>Revise</v>
      </c>
    </row>
    <row r="336" spans="1:11" x14ac:dyDescent="0.25">
      <c r="A336" s="6" t="s">
        <v>915</v>
      </c>
      <c r="B336" s="6" t="s">
        <v>224</v>
      </c>
      <c r="C336" s="6" t="s">
        <v>678</v>
      </c>
      <c r="D336" s="6" t="s">
        <v>50</v>
      </c>
      <c r="E336" s="6" t="s">
        <v>137</v>
      </c>
      <c r="F336" s="6">
        <v>2</v>
      </c>
      <c r="G336" s="11">
        <v>46301.000009837961</v>
      </c>
      <c r="H336" s="11">
        <v>46320.000009837961</v>
      </c>
      <c r="I336" s="6" t="s">
        <v>90</v>
      </c>
      <c r="J336" s="6" t="b">
        <f>IF(AND(H336&lt;Config!$B$2,I336&lt;&gt;"Approved / IFI"),TRUE,FALSE)</f>
        <v>0</v>
      </c>
      <c r="K336" s="6" t="str">
        <f t="shared" si="5"/>
        <v>In Progress</v>
      </c>
    </row>
    <row r="337" spans="1:11" x14ac:dyDescent="0.25">
      <c r="A337" s="6" t="s">
        <v>916</v>
      </c>
      <c r="B337" s="6" t="s">
        <v>224</v>
      </c>
      <c r="C337" s="6" t="s">
        <v>550</v>
      </c>
      <c r="D337" s="6" t="s">
        <v>51</v>
      </c>
      <c r="E337" s="6" t="s">
        <v>294</v>
      </c>
      <c r="F337" s="6">
        <v>3</v>
      </c>
      <c r="G337" s="11">
        <v>46225.000009837961</v>
      </c>
      <c r="H337" s="11">
        <v>46257.000009837961</v>
      </c>
      <c r="I337" s="6" t="s">
        <v>91</v>
      </c>
      <c r="J337" s="6" t="b">
        <f>IF(AND(H337&lt;Config!$B$2,I337&lt;&gt;"Approved / IFI"),TRUE,FALSE)</f>
        <v>0</v>
      </c>
      <c r="K337" s="6" t="str">
        <f t="shared" si="5"/>
        <v>In Review</v>
      </c>
    </row>
    <row r="338" spans="1:11" x14ac:dyDescent="0.25">
      <c r="A338" s="6" t="s">
        <v>917</v>
      </c>
      <c r="B338" s="6" t="s">
        <v>224</v>
      </c>
      <c r="C338" s="6" t="s">
        <v>918</v>
      </c>
      <c r="D338" s="6" t="s">
        <v>53</v>
      </c>
      <c r="E338" s="6" t="s">
        <v>168</v>
      </c>
      <c r="F338" s="6">
        <v>3</v>
      </c>
      <c r="G338" s="11">
        <v>46279.000009837961</v>
      </c>
      <c r="H338" s="11">
        <v>46315.000009837961</v>
      </c>
      <c r="I338" s="6" t="s">
        <v>92</v>
      </c>
      <c r="J338" s="6" t="b">
        <f>IF(AND(H338&lt;Config!$B$2,I338&lt;&gt;"Approved / IFI"),TRUE,FALSE)</f>
        <v>0</v>
      </c>
      <c r="K338" s="6" t="str">
        <f t="shared" si="5"/>
        <v>In Review</v>
      </c>
    </row>
    <row r="339" spans="1:11" x14ac:dyDescent="0.25">
      <c r="A339" s="6" t="s">
        <v>919</v>
      </c>
      <c r="B339" s="6" t="s">
        <v>224</v>
      </c>
      <c r="C339" s="6" t="s">
        <v>453</v>
      </c>
      <c r="D339" s="6" t="s">
        <v>52</v>
      </c>
      <c r="E339" s="6" t="s">
        <v>279</v>
      </c>
      <c r="F339" s="6">
        <v>4</v>
      </c>
      <c r="G339" s="11">
        <v>46215.000009837961</v>
      </c>
      <c r="H339" s="11">
        <v>46256.000009837961</v>
      </c>
      <c r="I339" s="6" t="s">
        <v>91</v>
      </c>
      <c r="J339" s="6" t="b">
        <f>IF(AND(H339&lt;Config!$B$2,I339&lt;&gt;"Approved / IFI"),TRUE,FALSE)</f>
        <v>0</v>
      </c>
      <c r="K339" s="6" t="str">
        <f t="shared" si="5"/>
        <v>In Review</v>
      </c>
    </row>
    <row r="340" spans="1:11" x14ac:dyDescent="0.25">
      <c r="A340" s="6" t="s">
        <v>920</v>
      </c>
      <c r="B340" s="6" t="s">
        <v>224</v>
      </c>
      <c r="C340" s="6" t="s">
        <v>602</v>
      </c>
      <c r="D340" s="6" t="s">
        <v>51</v>
      </c>
      <c r="E340" s="6" t="s">
        <v>294</v>
      </c>
      <c r="F340" s="6">
        <v>2</v>
      </c>
      <c r="G340" s="11">
        <v>46228.000009837961</v>
      </c>
      <c r="H340" s="11">
        <v>46272.000009837961</v>
      </c>
      <c r="I340" s="6" t="s">
        <v>90</v>
      </c>
      <c r="J340" s="6" t="b">
        <f>IF(AND(H340&lt;Config!$B$2,I340&lt;&gt;"Approved / IFI"),TRUE,FALSE)</f>
        <v>0</v>
      </c>
      <c r="K340" s="6" t="str">
        <f t="shared" si="5"/>
        <v>In Progress</v>
      </c>
    </row>
    <row r="341" spans="1:11" x14ac:dyDescent="0.25">
      <c r="A341" s="6" t="s">
        <v>921</v>
      </c>
      <c r="B341" s="6" t="s">
        <v>224</v>
      </c>
      <c r="C341" s="6" t="s">
        <v>556</v>
      </c>
      <c r="D341" s="6" t="s">
        <v>52</v>
      </c>
      <c r="E341" s="6" t="s">
        <v>304</v>
      </c>
      <c r="F341" s="6">
        <v>0</v>
      </c>
      <c r="G341" s="11">
        <v>46215.000009837961</v>
      </c>
      <c r="H341" s="11">
        <v>46252.000009837961</v>
      </c>
      <c r="I341" s="6" t="s">
        <v>90</v>
      </c>
      <c r="J341" s="6" t="b">
        <f>IF(AND(H341&lt;Config!$B$2,I341&lt;&gt;"Approved / IFI"),TRUE,FALSE)</f>
        <v>0</v>
      </c>
      <c r="K341" s="6" t="str">
        <f t="shared" si="5"/>
        <v>In Progress</v>
      </c>
    </row>
    <row r="342" spans="1:11" x14ac:dyDescent="0.25">
      <c r="A342" s="6" t="s">
        <v>922</v>
      </c>
      <c r="B342" s="6" t="s">
        <v>224</v>
      </c>
      <c r="C342" s="6" t="s">
        <v>635</v>
      </c>
      <c r="D342" s="6" t="s">
        <v>55</v>
      </c>
      <c r="E342" s="6" t="s">
        <v>310</v>
      </c>
      <c r="F342" s="6">
        <v>4</v>
      </c>
      <c r="G342" s="11">
        <v>46250.000009837961</v>
      </c>
      <c r="H342" s="11">
        <v>46293.000009837961</v>
      </c>
      <c r="I342" s="6" t="s">
        <v>91</v>
      </c>
      <c r="J342" s="6" t="b">
        <f>IF(AND(H342&lt;Config!$B$2,I342&lt;&gt;"Approved / IFI"),TRUE,FALSE)</f>
        <v>0</v>
      </c>
      <c r="K342" s="6" t="str">
        <f t="shared" si="5"/>
        <v>In Review</v>
      </c>
    </row>
    <row r="343" spans="1:11" x14ac:dyDescent="0.25">
      <c r="A343" s="6" t="s">
        <v>923</v>
      </c>
      <c r="B343" s="6" t="s">
        <v>224</v>
      </c>
      <c r="C343" s="6" t="s">
        <v>924</v>
      </c>
      <c r="D343" s="6" t="s">
        <v>53</v>
      </c>
      <c r="E343" s="6" t="s">
        <v>156</v>
      </c>
      <c r="F343" s="6">
        <v>1</v>
      </c>
      <c r="G343" s="11">
        <v>46267.000009837961</v>
      </c>
      <c r="H343" s="11">
        <v>46304.000009837961</v>
      </c>
      <c r="I343" s="6" t="s">
        <v>91</v>
      </c>
      <c r="J343" s="6" t="b">
        <f>IF(AND(H343&lt;Config!$B$2,I343&lt;&gt;"Approved / IFI"),TRUE,FALSE)</f>
        <v>0</v>
      </c>
      <c r="K343" s="6" t="str">
        <f t="shared" si="5"/>
        <v>In Review</v>
      </c>
    </row>
    <row r="344" spans="1:11" x14ac:dyDescent="0.25">
      <c r="A344" s="6" t="s">
        <v>925</v>
      </c>
      <c r="B344" s="6" t="s">
        <v>224</v>
      </c>
      <c r="C344" s="6" t="s">
        <v>506</v>
      </c>
      <c r="D344" s="6" t="s">
        <v>50</v>
      </c>
      <c r="E344" s="6" t="s">
        <v>300</v>
      </c>
      <c r="F344" s="6">
        <v>3</v>
      </c>
      <c r="G344" s="11">
        <v>46223.000009837961</v>
      </c>
      <c r="H344" s="11">
        <v>46263.000009837961</v>
      </c>
      <c r="I344" s="6" t="s">
        <v>90</v>
      </c>
      <c r="J344" s="6" t="b">
        <f>IF(AND(H344&lt;Config!$B$2,I344&lt;&gt;"Approved / IFI"),TRUE,FALSE)</f>
        <v>0</v>
      </c>
      <c r="K344" s="6" t="str">
        <f t="shared" si="5"/>
        <v>In Progress</v>
      </c>
    </row>
    <row r="345" spans="1:11" x14ac:dyDescent="0.25">
      <c r="A345" s="6" t="s">
        <v>926</v>
      </c>
      <c r="B345" s="6" t="s">
        <v>224</v>
      </c>
      <c r="C345" s="6" t="s">
        <v>457</v>
      </c>
      <c r="D345" s="6" t="s">
        <v>52</v>
      </c>
      <c r="E345" s="6" t="s">
        <v>183</v>
      </c>
      <c r="F345" s="6">
        <v>3</v>
      </c>
      <c r="G345" s="11">
        <v>46256.000009837961</v>
      </c>
      <c r="H345" s="11">
        <v>46274.000009837961</v>
      </c>
      <c r="I345" s="6" t="s">
        <v>91</v>
      </c>
      <c r="J345" s="6" t="b">
        <f>IF(AND(H345&lt;Config!$B$2,I345&lt;&gt;"Approved / IFI"),TRUE,FALSE)</f>
        <v>0</v>
      </c>
      <c r="K345" s="6" t="str">
        <f t="shared" si="5"/>
        <v>In Review</v>
      </c>
    </row>
    <row r="346" spans="1:11" x14ac:dyDescent="0.25">
      <c r="A346" s="6" t="s">
        <v>927</v>
      </c>
      <c r="B346" s="6" t="s">
        <v>228</v>
      </c>
      <c r="C346" s="6" t="s">
        <v>928</v>
      </c>
      <c r="D346" s="6" t="s">
        <v>51</v>
      </c>
      <c r="E346" s="6" t="s">
        <v>162</v>
      </c>
      <c r="F346" s="6">
        <v>0</v>
      </c>
      <c r="G346" s="11">
        <v>46029.000009837961</v>
      </c>
      <c r="H346" s="11">
        <v>46057.000009837961</v>
      </c>
      <c r="I346" s="6" t="s">
        <v>94</v>
      </c>
      <c r="J346" s="6" t="b">
        <f>IF(AND(H346&lt;Config!$B$2,I346&lt;&gt;"Approved / IFI"),TRUE,FALSE)</f>
        <v>0</v>
      </c>
      <c r="K346" s="6" t="str">
        <f t="shared" si="5"/>
        <v>Complete</v>
      </c>
    </row>
    <row r="347" spans="1:11" x14ac:dyDescent="0.25">
      <c r="A347" s="6" t="s">
        <v>929</v>
      </c>
      <c r="B347" s="6" t="s">
        <v>228</v>
      </c>
      <c r="C347" s="6" t="s">
        <v>930</v>
      </c>
      <c r="D347" s="6" t="s">
        <v>51</v>
      </c>
      <c r="E347" s="6" t="s">
        <v>276</v>
      </c>
      <c r="F347" s="6">
        <v>4</v>
      </c>
      <c r="G347" s="11">
        <v>46059.000009837961</v>
      </c>
      <c r="H347" s="11">
        <v>46071.000009837961</v>
      </c>
      <c r="I347" s="6" t="s">
        <v>94</v>
      </c>
      <c r="J347" s="6" t="b">
        <f>IF(AND(H347&lt;Config!$B$2,I347&lt;&gt;"Approved / IFI"),TRUE,FALSE)</f>
        <v>0</v>
      </c>
      <c r="K347" s="6" t="str">
        <f t="shared" si="5"/>
        <v>Complete</v>
      </c>
    </row>
    <row r="348" spans="1:11" x14ac:dyDescent="0.25">
      <c r="A348" s="6" t="s">
        <v>931</v>
      </c>
      <c r="B348" s="6" t="s">
        <v>228</v>
      </c>
      <c r="C348" s="6" t="s">
        <v>932</v>
      </c>
      <c r="D348" s="6" t="s">
        <v>53</v>
      </c>
      <c r="E348" s="6" t="s">
        <v>287</v>
      </c>
      <c r="F348" s="6">
        <v>0</v>
      </c>
      <c r="G348" s="11">
        <v>46058.000009837961</v>
      </c>
      <c r="H348" s="11">
        <v>46077.000009837961</v>
      </c>
      <c r="I348" s="6" t="s">
        <v>94</v>
      </c>
      <c r="J348" s="6" t="b">
        <f>IF(AND(H348&lt;Config!$B$2,I348&lt;&gt;"Approved / IFI"),TRUE,FALSE)</f>
        <v>0</v>
      </c>
      <c r="K348" s="6" t="str">
        <f t="shared" si="5"/>
        <v>Complete</v>
      </c>
    </row>
    <row r="349" spans="1:11" x14ac:dyDescent="0.25">
      <c r="A349" s="6" t="s">
        <v>933</v>
      </c>
      <c r="B349" s="6" t="s">
        <v>228</v>
      </c>
      <c r="C349" s="6" t="s">
        <v>451</v>
      </c>
      <c r="D349" s="6" t="s">
        <v>51</v>
      </c>
      <c r="E349" s="6" t="s">
        <v>276</v>
      </c>
      <c r="F349" s="6">
        <v>0</v>
      </c>
      <c r="G349" s="11">
        <v>46228.000009837961</v>
      </c>
      <c r="H349" s="11">
        <v>46238.000009837961</v>
      </c>
      <c r="I349" s="6" t="s">
        <v>94</v>
      </c>
      <c r="J349" s="6" t="b">
        <f>IF(AND(H349&lt;Config!$B$2,I349&lt;&gt;"Approved / IFI"),TRUE,FALSE)</f>
        <v>0</v>
      </c>
      <c r="K349" s="6" t="str">
        <f t="shared" si="5"/>
        <v>Complete</v>
      </c>
    </row>
    <row r="350" spans="1:11" x14ac:dyDescent="0.25">
      <c r="A350" s="6" t="s">
        <v>934</v>
      </c>
      <c r="B350" s="6" t="s">
        <v>228</v>
      </c>
      <c r="C350" s="6" t="s">
        <v>935</v>
      </c>
      <c r="D350" s="6" t="s">
        <v>52</v>
      </c>
      <c r="E350" s="6" t="s">
        <v>279</v>
      </c>
      <c r="F350" s="6">
        <v>2</v>
      </c>
      <c r="G350" s="11">
        <v>46125.000009837961</v>
      </c>
      <c r="H350" s="11">
        <v>46156.000009837961</v>
      </c>
      <c r="I350" s="6" t="s">
        <v>94</v>
      </c>
      <c r="J350" s="6" t="b">
        <f>IF(AND(H350&lt;Config!$B$2,I350&lt;&gt;"Approved / IFI"),TRUE,FALSE)</f>
        <v>0</v>
      </c>
      <c r="K350" s="6" t="str">
        <f t="shared" si="5"/>
        <v>Complete</v>
      </c>
    </row>
    <row r="351" spans="1:11" x14ac:dyDescent="0.25">
      <c r="A351" s="6" t="s">
        <v>936</v>
      </c>
      <c r="B351" s="6" t="s">
        <v>228</v>
      </c>
      <c r="C351" s="6" t="s">
        <v>471</v>
      </c>
      <c r="D351" s="6" t="s">
        <v>51</v>
      </c>
      <c r="E351" s="6" t="s">
        <v>162</v>
      </c>
      <c r="F351" s="6">
        <v>3</v>
      </c>
      <c r="G351" s="11">
        <v>46178.000009837961</v>
      </c>
      <c r="H351" s="11">
        <v>46190.000009837961</v>
      </c>
      <c r="I351" s="6" t="s">
        <v>94</v>
      </c>
      <c r="J351" s="6" t="b">
        <f>IF(AND(H351&lt;Config!$B$2,I351&lt;&gt;"Approved / IFI"),TRUE,FALSE)</f>
        <v>0</v>
      </c>
      <c r="K351" s="6" t="str">
        <f t="shared" si="5"/>
        <v>Complete</v>
      </c>
    </row>
    <row r="352" spans="1:11" x14ac:dyDescent="0.25">
      <c r="A352" s="6" t="s">
        <v>937</v>
      </c>
      <c r="B352" s="6" t="s">
        <v>228</v>
      </c>
      <c r="C352" s="6" t="s">
        <v>928</v>
      </c>
      <c r="D352" s="6" t="s">
        <v>51</v>
      </c>
      <c r="E352" s="6" t="s">
        <v>292</v>
      </c>
      <c r="F352" s="6">
        <v>0</v>
      </c>
      <c r="G352" s="11">
        <v>46120.000009837961</v>
      </c>
      <c r="H352" s="11">
        <v>46139.000009837961</v>
      </c>
      <c r="I352" s="6" t="s">
        <v>94</v>
      </c>
      <c r="J352" s="6" t="b">
        <f>IF(AND(H352&lt;Config!$B$2,I352&lt;&gt;"Approved / IFI"),TRUE,FALSE)</f>
        <v>0</v>
      </c>
      <c r="K352" s="6" t="str">
        <f t="shared" si="5"/>
        <v>Complete</v>
      </c>
    </row>
    <row r="353" spans="1:11" x14ac:dyDescent="0.25">
      <c r="A353" s="6" t="s">
        <v>938</v>
      </c>
      <c r="B353" s="6" t="s">
        <v>228</v>
      </c>
      <c r="C353" s="6" t="s">
        <v>482</v>
      </c>
      <c r="D353" s="6" t="s">
        <v>50</v>
      </c>
      <c r="E353" s="6" t="s">
        <v>150</v>
      </c>
      <c r="F353" s="6">
        <v>0</v>
      </c>
      <c r="G353" s="11">
        <v>46024.000009837961</v>
      </c>
      <c r="H353" s="11">
        <v>46063.000009837961</v>
      </c>
      <c r="I353" s="6" t="s">
        <v>94</v>
      </c>
      <c r="J353" s="6" t="b">
        <f>IF(AND(H353&lt;Config!$B$2,I353&lt;&gt;"Approved / IFI"),TRUE,FALSE)</f>
        <v>0</v>
      </c>
      <c r="K353" s="6" t="str">
        <f t="shared" si="5"/>
        <v>Complete</v>
      </c>
    </row>
    <row r="354" spans="1:11" x14ac:dyDescent="0.25">
      <c r="A354" s="6" t="s">
        <v>939</v>
      </c>
      <c r="B354" s="6" t="s">
        <v>228</v>
      </c>
      <c r="C354" s="6" t="s">
        <v>940</v>
      </c>
      <c r="D354" s="6" t="s">
        <v>51</v>
      </c>
      <c r="E354" s="6" t="s">
        <v>162</v>
      </c>
      <c r="F354" s="6">
        <v>3</v>
      </c>
      <c r="G354" s="11">
        <v>46186.000009837961</v>
      </c>
      <c r="H354" s="11">
        <v>46222.000009837961</v>
      </c>
      <c r="I354" s="6" t="s">
        <v>94</v>
      </c>
      <c r="J354" s="6" t="b">
        <f>IF(AND(H354&lt;Config!$B$2,I354&lt;&gt;"Approved / IFI"),TRUE,FALSE)</f>
        <v>0</v>
      </c>
      <c r="K354" s="6" t="str">
        <f t="shared" si="5"/>
        <v>Complete</v>
      </c>
    </row>
    <row r="355" spans="1:11" x14ac:dyDescent="0.25">
      <c r="A355" s="6" t="s">
        <v>941</v>
      </c>
      <c r="B355" s="6" t="s">
        <v>228</v>
      </c>
      <c r="C355" s="6" t="s">
        <v>506</v>
      </c>
      <c r="D355" s="6" t="s">
        <v>50</v>
      </c>
      <c r="E355" s="6" t="s">
        <v>300</v>
      </c>
      <c r="F355" s="6">
        <v>0</v>
      </c>
      <c r="G355" s="11">
        <v>46068.000009837961</v>
      </c>
      <c r="H355" s="11">
        <v>46106.000009837961</v>
      </c>
      <c r="I355" s="6" t="s">
        <v>94</v>
      </c>
      <c r="J355" s="6" t="b">
        <f>IF(AND(H355&lt;Config!$B$2,I355&lt;&gt;"Approved / IFI"),TRUE,FALSE)</f>
        <v>0</v>
      </c>
      <c r="K355" s="6" t="str">
        <f t="shared" si="5"/>
        <v>Complete</v>
      </c>
    </row>
    <row r="356" spans="1:11" x14ac:dyDescent="0.25">
      <c r="A356" s="6" t="s">
        <v>942</v>
      </c>
      <c r="B356" s="6" t="s">
        <v>228</v>
      </c>
      <c r="C356" s="6" t="s">
        <v>635</v>
      </c>
      <c r="D356" s="6" t="s">
        <v>55</v>
      </c>
      <c r="E356" s="6" t="s">
        <v>193</v>
      </c>
      <c r="F356" s="6">
        <v>0</v>
      </c>
      <c r="G356" s="11">
        <v>46227.000009837961</v>
      </c>
      <c r="H356" s="11">
        <v>46261.000009837961</v>
      </c>
      <c r="I356" s="6" t="s">
        <v>90</v>
      </c>
      <c r="J356" s="6" t="b">
        <f>IF(AND(H356&lt;Config!$B$2,I356&lt;&gt;"Approved / IFI"),TRUE,FALSE)</f>
        <v>0</v>
      </c>
      <c r="K356" s="6" t="str">
        <f t="shared" si="5"/>
        <v>In Progress</v>
      </c>
    </row>
    <row r="357" spans="1:11" x14ac:dyDescent="0.25">
      <c r="A357" s="6" t="s">
        <v>943</v>
      </c>
      <c r="B357" s="6" t="s">
        <v>228</v>
      </c>
      <c r="C357" s="6" t="s">
        <v>529</v>
      </c>
      <c r="D357" s="6" t="s">
        <v>51</v>
      </c>
      <c r="E357" s="6" t="s">
        <v>292</v>
      </c>
      <c r="F357" s="6">
        <v>4</v>
      </c>
      <c r="G357" s="11">
        <v>46269.000009837961</v>
      </c>
      <c r="H357" s="11">
        <v>46292.000009837961</v>
      </c>
      <c r="I357" s="6" t="s">
        <v>90</v>
      </c>
      <c r="J357" s="6" t="b">
        <f>IF(AND(H357&lt;Config!$B$2,I357&lt;&gt;"Approved / IFI"),TRUE,FALSE)</f>
        <v>0</v>
      </c>
      <c r="K357" s="6" t="str">
        <f t="shared" si="5"/>
        <v>In Progress</v>
      </c>
    </row>
    <row r="358" spans="1:11" x14ac:dyDescent="0.25">
      <c r="A358" s="6" t="s">
        <v>944</v>
      </c>
      <c r="B358" s="6" t="s">
        <v>228</v>
      </c>
      <c r="C358" s="6" t="s">
        <v>457</v>
      </c>
      <c r="D358" s="6" t="s">
        <v>52</v>
      </c>
      <c r="E358" s="6" t="s">
        <v>183</v>
      </c>
      <c r="F358" s="6">
        <v>4</v>
      </c>
      <c r="G358" s="11">
        <v>46293.000009837961</v>
      </c>
      <c r="H358" s="11">
        <v>46322.000009837961</v>
      </c>
      <c r="I358" s="6" t="s">
        <v>91</v>
      </c>
      <c r="J358" s="6" t="b">
        <f>IF(AND(H358&lt;Config!$B$2,I358&lt;&gt;"Approved / IFI"),TRUE,FALSE)</f>
        <v>0</v>
      </c>
      <c r="K358" s="6" t="str">
        <f t="shared" si="5"/>
        <v>In Review</v>
      </c>
    </row>
    <row r="359" spans="1:11" x14ac:dyDescent="0.25">
      <c r="A359" s="6" t="s">
        <v>945</v>
      </c>
      <c r="B359" s="6" t="s">
        <v>228</v>
      </c>
      <c r="C359" s="6" t="s">
        <v>620</v>
      </c>
      <c r="D359" s="6" t="s">
        <v>55</v>
      </c>
      <c r="E359" s="6" t="s">
        <v>308</v>
      </c>
      <c r="F359" s="6">
        <v>2</v>
      </c>
      <c r="G359" s="11">
        <v>46221.000009837961</v>
      </c>
      <c r="H359" s="11">
        <v>46253.000009837961</v>
      </c>
      <c r="I359" s="6" t="s">
        <v>91</v>
      </c>
      <c r="J359" s="6" t="b">
        <f>IF(AND(H359&lt;Config!$B$2,I359&lt;&gt;"Approved / IFI"),TRUE,FALSE)</f>
        <v>0</v>
      </c>
      <c r="K359" s="6" t="str">
        <f t="shared" si="5"/>
        <v>In Review</v>
      </c>
    </row>
    <row r="360" spans="1:11" x14ac:dyDescent="0.25">
      <c r="A360" s="6" t="s">
        <v>946</v>
      </c>
      <c r="B360" s="6" t="s">
        <v>228</v>
      </c>
      <c r="C360" s="6" t="s">
        <v>947</v>
      </c>
      <c r="D360" s="6" t="s">
        <v>50</v>
      </c>
      <c r="E360" s="6" t="s">
        <v>296</v>
      </c>
      <c r="F360" s="6">
        <v>3</v>
      </c>
      <c r="G360" s="11">
        <v>46270.000009837961</v>
      </c>
      <c r="H360" s="11">
        <v>46303.000009837961</v>
      </c>
      <c r="I360" s="6" t="s">
        <v>91</v>
      </c>
      <c r="J360" s="6" t="b">
        <f>IF(AND(H360&lt;Config!$B$2,I360&lt;&gt;"Approved / IFI"),TRUE,FALSE)</f>
        <v>0</v>
      </c>
      <c r="K360" s="6" t="str">
        <f t="shared" si="5"/>
        <v>In Review</v>
      </c>
    </row>
    <row r="361" spans="1:11" x14ac:dyDescent="0.25">
      <c r="A361" s="6" t="s">
        <v>948</v>
      </c>
      <c r="B361" s="6" t="s">
        <v>228</v>
      </c>
      <c r="C361" s="6" t="s">
        <v>684</v>
      </c>
      <c r="D361" s="6" t="s">
        <v>50</v>
      </c>
      <c r="E361" s="6" t="s">
        <v>298</v>
      </c>
      <c r="F361" s="6">
        <v>4</v>
      </c>
      <c r="G361" s="11">
        <v>46256.000009837961</v>
      </c>
      <c r="H361" s="11">
        <v>46279.000009837961</v>
      </c>
      <c r="I361" s="6" t="s">
        <v>90</v>
      </c>
      <c r="J361" s="6" t="b">
        <f>IF(AND(H361&lt;Config!$B$2,I361&lt;&gt;"Approved / IFI"),TRUE,FALSE)</f>
        <v>0</v>
      </c>
      <c r="K361" s="6" t="str">
        <f t="shared" si="5"/>
        <v>In Progress</v>
      </c>
    </row>
    <row r="362" spans="1:11" x14ac:dyDescent="0.25">
      <c r="A362" s="6" t="s">
        <v>949</v>
      </c>
      <c r="B362" s="6" t="s">
        <v>228</v>
      </c>
      <c r="C362" s="6" t="s">
        <v>569</v>
      </c>
      <c r="D362" s="6" t="s">
        <v>53</v>
      </c>
      <c r="E362" s="6" t="s">
        <v>168</v>
      </c>
      <c r="F362" s="6">
        <v>4</v>
      </c>
      <c r="G362" s="11">
        <v>46275.000009837961</v>
      </c>
      <c r="H362" s="11">
        <v>46318.000009837961</v>
      </c>
      <c r="I362" s="6" t="s">
        <v>90</v>
      </c>
      <c r="J362" s="6" t="b">
        <f>IF(AND(H362&lt;Config!$B$2,I362&lt;&gt;"Approved / IFI"),TRUE,FALSE)</f>
        <v>0</v>
      </c>
      <c r="K362" s="6" t="str">
        <f t="shared" si="5"/>
        <v>In Progress</v>
      </c>
    </row>
    <row r="363" spans="1:11" x14ac:dyDescent="0.25">
      <c r="A363" s="6" t="s">
        <v>950</v>
      </c>
      <c r="B363" s="6" t="s">
        <v>228</v>
      </c>
      <c r="C363" s="6" t="s">
        <v>678</v>
      </c>
      <c r="D363" s="6" t="s">
        <v>50</v>
      </c>
      <c r="E363" s="6" t="s">
        <v>150</v>
      </c>
      <c r="F363" s="6">
        <v>0</v>
      </c>
      <c r="G363" s="11">
        <v>46262.000009837961</v>
      </c>
      <c r="H363" s="11">
        <v>46293.000009837961</v>
      </c>
      <c r="I363" s="6" t="s">
        <v>90</v>
      </c>
      <c r="J363" s="6" t="b">
        <f>IF(AND(H363&lt;Config!$B$2,I363&lt;&gt;"Approved / IFI"),TRUE,FALSE)</f>
        <v>0</v>
      </c>
      <c r="K363" s="6" t="str">
        <f t="shared" si="5"/>
        <v>In Progress</v>
      </c>
    </row>
    <row r="364" spans="1:11" x14ac:dyDescent="0.25">
      <c r="A364" s="6" t="s">
        <v>951</v>
      </c>
      <c r="B364" s="6" t="s">
        <v>228</v>
      </c>
      <c r="C364" s="6" t="s">
        <v>602</v>
      </c>
      <c r="D364" s="6" t="s">
        <v>51</v>
      </c>
      <c r="E364" s="6" t="s">
        <v>276</v>
      </c>
      <c r="F364" s="6">
        <v>1</v>
      </c>
      <c r="G364" s="11">
        <v>46253.000009837961</v>
      </c>
      <c r="H364" s="11">
        <v>46275.000009837961</v>
      </c>
      <c r="I364" s="6" t="s">
        <v>91</v>
      </c>
      <c r="J364" s="6" t="b">
        <f>IF(AND(H364&lt;Config!$B$2,I364&lt;&gt;"Approved / IFI"),TRUE,FALSE)</f>
        <v>0</v>
      </c>
      <c r="K364" s="6" t="str">
        <f t="shared" si="5"/>
        <v>In Review</v>
      </c>
    </row>
    <row r="365" spans="1:11" x14ac:dyDescent="0.25">
      <c r="A365" s="6" t="s">
        <v>952</v>
      </c>
      <c r="B365" s="6" t="s">
        <v>228</v>
      </c>
      <c r="C365" s="6" t="s">
        <v>953</v>
      </c>
      <c r="D365" s="6" t="s">
        <v>52</v>
      </c>
      <c r="E365" s="6" t="s">
        <v>302</v>
      </c>
      <c r="F365" s="6">
        <v>4</v>
      </c>
      <c r="G365" s="11">
        <v>46236.000009837961</v>
      </c>
      <c r="H365" s="11">
        <v>46255.000009837961</v>
      </c>
      <c r="I365" s="6" t="s">
        <v>93</v>
      </c>
      <c r="J365" s="6" t="b">
        <f>IF(AND(H365&lt;Config!$B$2,I365&lt;&gt;"Approved / IFI"),TRUE,FALSE)</f>
        <v>0</v>
      </c>
      <c r="K365" s="6" t="str">
        <f t="shared" si="5"/>
        <v>Revise</v>
      </c>
    </row>
    <row r="366" spans="1:11" x14ac:dyDescent="0.25">
      <c r="A366" s="6" t="s">
        <v>954</v>
      </c>
      <c r="B366" s="6" t="s">
        <v>228</v>
      </c>
      <c r="C366" s="6" t="s">
        <v>631</v>
      </c>
      <c r="D366" s="6" t="s">
        <v>50</v>
      </c>
      <c r="E366" s="6" t="s">
        <v>156</v>
      </c>
      <c r="F366" s="6">
        <v>4</v>
      </c>
      <c r="G366" s="11">
        <v>46275.000009837961</v>
      </c>
      <c r="H366" s="11">
        <v>46310.000009837961</v>
      </c>
      <c r="I366" s="6" t="s">
        <v>91</v>
      </c>
      <c r="J366" s="6" t="b">
        <f>IF(AND(H366&lt;Config!$B$2,I366&lt;&gt;"Approved / IFI"),TRUE,FALSE)</f>
        <v>0</v>
      </c>
      <c r="K366" s="6" t="str">
        <f t="shared" si="5"/>
        <v>In Review</v>
      </c>
    </row>
    <row r="367" spans="1:11" x14ac:dyDescent="0.25">
      <c r="A367" s="6" t="s">
        <v>955</v>
      </c>
      <c r="B367" s="6" t="s">
        <v>228</v>
      </c>
      <c r="C367" s="6" t="s">
        <v>484</v>
      </c>
      <c r="D367" s="6" t="s">
        <v>52</v>
      </c>
      <c r="E367" s="6" t="s">
        <v>279</v>
      </c>
      <c r="F367" s="6">
        <v>2</v>
      </c>
      <c r="G367" s="11">
        <v>46239.000009837961</v>
      </c>
      <c r="H367" s="11">
        <v>46264.000009837961</v>
      </c>
      <c r="I367" s="6" t="s">
        <v>90</v>
      </c>
      <c r="J367" s="6" t="b">
        <f>IF(AND(H367&lt;Config!$B$2,I367&lt;&gt;"Approved / IFI"),TRUE,FALSE)</f>
        <v>0</v>
      </c>
      <c r="K367" s="6" t="str">
        <f t="shared" si="5"/>
        <v>In Progress</v>
      </c>
    </row>
    <row r="368" spans="1:11" x14ac:dyDescent="0.25">
      <c r="A368" s="6" t="s">
        <v>956</v>
      </c>
      <c r="B368" s="6" t="s">
        <v>231</v>
      </c>
      <c r="C368" s="6" t="s">
        <v>602</v>
      </c>
      <c r="D368" s="6" t="s">
        <v>51</v>
      </c>
      <c r="E368" s="6" t="s">
        <v>162</v>
      </c>
      <c r="F368" s="6">
        <v>2</v>
      </c>
      <c r="G368" s="11">
        <v>46192.000009837961</v>
      </c>
      <c r="H368" s="11">
        <v>46215.000009837961</v>
      </c>
      <c r="I368" s="6" t="s">
        <v>94</v>
      </c>
      <c r="J368" s="6" t="b">
        <f>IF(AND(H368&lt;Config!$B$2,I368&lt;&gt;"Approved / IFI"),TRUE,FALSE)</f>
        <v>0</v>
      </c>
      <c r="K368" s="6" t="str">
        <f t="shared" si="5"/>
        <v>Complete</v>
      </c>
    </row>
    <row r="369" spans="1:11" x14ac:dyDescent="0.25">
      <c r="A369" s="6" t="s">
        <v>957</v>
      </c>
      <c r="B369" s="6" t="s">
        <v>231</v>
      </c>
      <c r="C369" s="6" t="s">
        <v>610</v>
      </c>
      <c r="D369" s="6" t="s">
        <v>52</v>
      </c>
      <c r="E369" s="6" t="s">
        <v>304</v>
      </c>
      <c r="F369" s="6">
        <v>4</v>
      </c>
      <c r="G369" s="11">
        <v>46208.000009837961</v>
      </c>
      <c r="H369" s="11">
        <v>46238.000009837961</v>
      </c>
      <c r="I369" s="6" t="s">
        <v>94</v>
      </c>
      <c r="J369" s="6" t="b">
        <f>IF(AND(H369&lt;Config!$B$2,I369&lt;&gt;"Approved / IFI"),TRUE,FALSE)</f>
        <v>0</v>
      </c>
      <c r="K369" s="6" t="str">
        <f t="shared" si="5"/>
        <v>Complete</v>
      </c>
    </row>
    <row r="370" spans="1:11" x14ac:dyDescent="0.25">
      <c r="A370" s="6" t="s">
        <v>958</v>
      </c>
      <c r="B370" s="6" t="s">
        <v>231</v>
      </c>
      <c r="C370" s="6" t="s">
        <v>581</v>
      </c>
      <c r="D370" s="6" t="s">
        <v>54</v>
      </c>
      <c r="E370" s="6" t="s">
        <v>284</v>
      </c>
      <c r="F370" s="6">
        <v>3</v>
      </c>
      <c r="G370" s="11">
        <v>46035.000009837961</v>
      </c>
      <c r="H370" s="11">
        <v>46071.000009837961</v>
      </c>
      <c r="I370" s="6" t="s">
        <v>94</v>
      </c>
      <c r="J370" s="6" t="b">
        <f>IF(AND(H370&lt;Config!$B$2,I370&lt;&gt;"Approved / IFI"),TRUE,FALSE)</f>
        <v>0</v>
      </c>
      <c r="K370" s="6" t="str">
        <f t="shared" si="5"/>
        <v>Complete</v>
      </c>
    </row>
    <row r="371" spans="1:11" x14ac:dyDescent="0.25">
      <c r="A371" s="6" t="s">
        <v>959</v>
      </c>
      <c r="B371" s="6" t="s">
        <v>231</v>
      </c>
      <c r="C371" s="6" t="s">
        <v>451</v>
      </c>
      <c r="D371" s="6" t="s">
        <v>51</v>
      </c>
      <c r="E371" s="6" t="s">
        <v>276</v>
      </c>
      <c r="F371" s="6">
        <v>2</v>
      </c>
      <c r="G371" s="11">
        <v>46190.000009837961</v>
      </c>
      <c r="H371" s="11">
        <v>46218.000009837961</v>
      </c>
      <c r="I371" s="6" t="s">
        <v>94</v>
      </c>
      <c r="J371" s="6" t="b">
        <f>IF(AND(H371&lt;Config!$B$2,I371&lt;&gt;"Approved / IFI"),TRUE,FALSE)</f>
        <v>0</v>
      </c>
      <c r="K371" s="6" t="str">
        <f t="shared" si="5"/>
        <v>Complete</v>
      </c>
    </row>
    <row r="372" spans="1:11" x14ac:dyDescent="0.25">
      <c r="A372" s="6" t="s">
        <v>960</v>
      </c>
      <c r="B372" s="6" t="s">
        <v>231</v>
      </c>
      <c r="C372" s="6" t="s">
        <v>571</v>
      </c>
      <c r="D372" s="6" t="s">
        <v>51</v>
      </c>
      <c r="E372" s="6" t="s">
        <v>274</v>
      </c>
      <c r="F372" s="6">
        <v>2</v>
      </c>
      <c r="G372" s="11">
        <v>46112.000009837961</v>
      </c>
      <c r="H372" s="11">
        <v>46126.000009837961</v>
      </c>
      <c r="I372" s="6" t="s">
        <v>94</v>
      </c>
      <c r="J372" s="6" t="b">
        <f>IF(AND(H372&lt;Config!$B$2,I372&lt;&gt;"Approved / IFI"),TRUE,FALSE)</f>
        <v>0</v>
      </c>
      <c r="K372" s="6" t="str">
        <f t="shared" si="5"/>
        <v>Complete</v>
      </c>
    </row>
    <row r="373" spans="1:11" x14ac:dyDescent="0.25">
      <c r="A373" s="6" t="s">
        <v>961</v>
      </c>
      <c r="B373" s="6" t="s">
        <v>231</v>
      </c>
      <c r="C373" s="6" t="s">
        <v>498</v>
      </c>
      <c r="D373" s="6" t="s">
        <v>52</v>
      </c>
      <c r="E373" s="6" t="s">
        <v>304</v>
      </c>
      <c r="F373" s="6">
        <v>4</v>
      </c>
      <c r="G373" s="11">
        <v>46143.000009837961</v>
      </c>
      <c r="H373" s="11">
        <v>46162.000009837961</v>
      </c>
      <c r="I373" s="6" t="s">
        <v>94</v>
      </c>
      <c r="J373" s="6" t="b">
        <f>IF(AND(H373&lt;Config!$B$2,I373&lt;&gt;"Approved / IFI"),TRUE,FALSE)</f>
        <v>0</v>
      </c>
      <c r="K373" s="6" t="str">
        <f t="shared" si="5"/>
        <v>Complete</v>
      </c>
    </row>
    <row r="374" spans="1:11" x14ac:dyDescent="0.25">
      <c r="A374" s="6" t="s">
        <v>962</v>
      </c>
      <c r="B374" s="6" t="s">
        <v>231</v>
      </c>
      <c r="C374" s="6" t="s">
        <v>550</v>
      </c>
      <c r="D374" s="6" t="s">
        <v>51</v>
      </c>
      <c r="E374" s="6" t="s">
        <v>294</v>
      </c>
      <c r="F374" s="6">
        <v>1</v>
      </c>
      <c r="G374" s="11">
        <v>46162.000009837961</v>
      </c>
      <c r="H374" s="11">
        <v>46183.000009837961</v>
      </c>
      <c r="I374" s="6" t="s">
        <v>94</v>
      </c>
      <c r="J374" s="6" t="b">
        <f>IF(AND(H374&lt;Config!$B$2,I374&lt;&gt;"Approved / IFI"),TRUE,FALSE)</f>
        <v>0</v>
      </c>
      <c r="K374" s="6" t="str">
        <f t="shared" si="5"/>
        <v>Complete</v>
      </c>
    </row>
    <row r="375" spans="1:11" x14ac:dyDescent="0.25">
      <c r="A375" s="6" t="s">
        <v>963</v>
      </c>
      <c r="B375" s="6" t="s">
        <v>231</v>
      </c>
      <c r="C375" s="6" t="s">
        <v>541</v>
      </c>
      <c r="D375" s="6" t="s">
        <v>51</v>
      </c>
      <c r="E375" s="6" t="s">
        <v>162</v>
      </c>
      <c r="F375" s="6">
        <v>4</v>
      </c>
      <c r="G375" s="11">
        <v>46145.000009837961</v>
      </c>
      <c r="H375" s="11">
        <v>46155.000009837961</v>
      </c>
      <c r="I375" s="6" t="s">
        <v>94</v>
      </c>
      <c r="J375" s="6" t="b">
        <f>IF(AND(H375&lt;Config!$B$2,I375&lt;&gt;"Approved / IFI"),TRUE,FALSE)</f>
        <v>0</v>
      </c>
      <c r="K375" s="6" t="str">
        <f t="shared" si="5"/>
        <v>Complete</v>
      </c>
    </row>
    <row r="376" spans="1:11" x14ac:dyDescent="0.25">
      <c r="A376" s="6" t="s">
        <v>964</v>
      </c>
      <c r="B376" s="6" t="s">
        <v>231</v>
      </c>
      <c r="C376" s="6" t="s">
        <v>965</v>
      </c>
      <c r="D376" s="6" t="s">
        <v>50</v>
      </c>
      <c r="E376" s="6" t="s">
        <v>150</v>
      </c>
      <c r="F376" s="6">
        <v>2</v>
      </c>
      <c r="G376" s="11">
        <v>46205.000009837961</v>
      </c>
      <c r="H376" s="11">
        <v>46224.000009837961</v>
      </c>
      <c r="I376" s="6" t="s">
        <v>94</v>
      </c>
      <c r="J376" s="6" t="b">
        <f>IF(AND(H376&lt;Config!$B$2,I376&lt;&gt;"Approved / IFI"),TRUE,FALSE)</f>
        <v>0</v>
      </c>
      <c r="K376" s="6" t="str">
        <f t="shared" si="5"/>
        <v>Complete</v>
      </c>
    </row>
    <row r="377" spans="1:11" x14ac:dyDescent="0.25">
      <c r="A377" s="6" t="s">
        <v>966</v>
      </c>
      <c r="B377" s="6" t="s">
        <v>231</v>
      </c>
      <c r="C377" s="6" t="s">
        <v>571</v>
      </c>
      <c r="D377" s="6" t="s">
        <v>51</v>
      </c>
      <c r="E377" s="6" t="s">
        <v>162</v>
      </c>
      <c r="F377" s="6">
        <v>4</v>
      </c>
      <c r="G377" s="11">
        <v>46118.000009837961</v>
      </c>
      <c r="H377" s="11">
        <v>46143.000009837961</v>
      </c>
      <c r="I377" s="6" t="s">
        <v>94</v>
      </c>
      <c r="J377" s="6" t="b">
        <f>IF(AND(H377&lt;Config!$B$2,I377&lt;&gt;"Approved / IFI"),TRUE,FALSE)</f>
        <v>0</v>
      </c>
      <c r="K377" s="6" t="str">
        <f t="shared" si="5"/>
        <v>Complete</v>
      </c>
    </row>
    <row r="378" spans="1:11" x14ac:dyDescent="0.25">
      <c r="A378" s="6" t="s">
        <v>967</v>
      </c>
      <c r="B378" s="6" t="s">
        <v>231</v>
      </c>
      <c r="C378" s="6" t="s">
        <v>968</v>
      </c>
      <c r="D378" s="6" t="s">
        <v>51</v>
      </c>
      <c r="E378" s="6" t="s">
        <v>294</v>
      </c>
      <c r="F378" s="6">
        <v>4</v>
      </c>
      <c r="G378" s="11">
        <v>46045.000009837961</v>
      </c>
      <c r="H378" s="11">
        <v>46064.000009837961</v>
      </c>
      <c r="I378" s="6" t="s">
        <v>94</v>
      </c>
      <c r="J378" s="6" t="b">
        <f>IF(AND(H378&lt;Config!$B$2,I378&lt;&gt;"Approved / IFI"),TRUE,FALSE)</f>
        <v>0</v>
      </c>
      <c r="K378" s="6" t="str">
        <f t="shared" si="5"/>
        <v>Complete</v>
      </c>
    </row>
    <row r="379" spans="1:11" x14ac:dyDescent="0.25">
      <c r="A379" s="6" t="s">
        <v>969</v>
      </c>
      <c r="B379" s="6" t="s">
        <v>231</v>
      </c>
      <c r="C379" s="6" t="s">
        <v>562</v>
      </c>
      <c r="D379" s="6" t="s">
        <v>50</v>
      </c>
      <c r="E379" s="6" t="s">
        <v>296</v>
      </c>
      <c r="F379" s="6">
        <v>0</v>
      </c>
      <c r="G379" s="11">
        <v>46162.000009837961</v>
      </c>
      <c r="H379" s="11">
        <v>46195.000009837961</v>
      </c>
      <c r="I379" s="6" t="s">
        <v>94</v>
      </c>
      <c r="J379" s="6" t="b">
        <f>IF(AND(H379&lt;Config!$B$2,I379&lt;&gt;"Approved / IFI"),TRUE,FALSE)</f>
        <v>0</v>
      </c>
      <c r="K379" s="6" t="str">
        <f t="shared" si="5"/>
        <v>Complete</v>
      </c>
    </row>
    <row r="380" spans="1:11" x14ac:dyDescent="0.25">
      <c r="A380" s="6" t="s">
        <v>970</v>
      </c>
      <c r="B380" s="6" t="s">
        <v>231</v>
      </c>
      <c r="C380" s="6" t="s">
        <v>971</v>
      </c>
      <c r="D380" s="6" t="s">
        <v>52</v>
      </c>
      <c r="E380" s="6" t="s">
        <v>302</v>
      </c>
      <c r="F380" s="6">
        <v>4</v>
      </c>
      <c r="G380" s="11">
        <v>46136.000009837961</v>
      </c>
      <c r="H380" s="11">
        <v>46158.000009837961</v>
      </c>
      <c r="I380" s="6" t="s">
        <v>94</v>
      </c>
      <c r="J380" s="6" t="b">
        <f>IF(AND(H380&lt;Config!$B$2,I380&lt;&gt;"Approved / IFI"),TRUE,FALSE)</f>
        <v>0</v>
      </c>
      <c r="K380" s="6" t="str">
        <f t="shared" si="5"/>
        <v>Complete</v>
      </c>
    </row>
    <row r="381" spans="1:11" x14ac:dyDescent="0.25">
      <c r="A381" s="6" t="s">
        <v>972</v>
      </c>
      <c r="B381" s="6" t="s">
        <v>231</v>
      </c>
      <c r="C381" s="6" t="s">
        <v>973</v>
      </c>
      <c r="D381" s="6" t="s">
        <v>50</v>
      </c>
      <c r="E381" s="6" t="s">
        <v>150</v>
      </c>
      <c r="F381" s="6">
        <v>3</v>
      </c>
      <c r="G381" s="11">
        <v>46195.000009837961</v>
      </c>
      <c r="H381" s="11">
        <v>46229.000009837961</v>
      </c>
      <c r="I381" s="6" t="s">
        <v>94</v>
      </c>
      <c r="J381" s="6" t="b">
        <f>IF(AND(H381&lt;Config!$B$2,I381&lt;&gt;"Approved / IFI"),TRUE,FALSE)</f>
        <v>0</v>
      </c>
      <c r="K381" s="6" t="str">
        <f t="shared" si="5"/>
        <v>Complete</v>
      </c>
    </row>
    <row r="382" spans="1:11" x14ac:dyDescent="0.25">
      <c r="A382" s="6" t="s">
        <v>974</v>
      </c>
      <c r="B382" s="6" t="s">
        <v>231</v>
      </c>
      <c r="C382" s="6" t="s">
        <v>562</v>
      </c>
      <c r="D382" s="6" t="s">
        <v>50</v>
      </c>
      <c r="E382" s="6" t="s">
        <v>137</v>
      </c>
      <c r="F382" s="6">
        <v>2</v>
      </c>
      <c r="G382" s="11">
        <v>46025.000009837961</v>
      </c>
      <c r="H382" s="11">
        <v>46059.000009837961</v>
      </c>
      <c r="I382" s="6" t="s">
        <v>94</v>
      </c>
      <c r="J382" s="6" t="b">
        <f>IF(AND(H382&lt;Config!$B$2,I382&lt;&gt;"Approved / IFI"),TRUE,FALSE)</f>
        <v>0</v>
      </c>
      <c r="K382" s="6" t="str">
        <f t="shared" si="5"/>
        <v>Complete</v>
      </c>
    </row>
    <row r="383" spans="1:11" x14ac:dyDescent="0.25">
      <c r="A383" s="6" t="s">
        <v>975</v>
      </c>
      <c r="B383" s="6" t="s">
        <v>231</v>
      </c>
      <c r="C383" s="6" t="s">
        <v>678</v>
      </c>
      <c r="D383" s="6" t="s">
        <v>50</v>
      </c>
      <c r="E383" s="6" t="s">
        <v>156</v>
      </c>
      <c r="F383" s="6">
        <v>1</v>
      </c>
      <c r="G383" s="11">
        <v>46055.000009837961</v>
      </c>
      <c r="H383" s="11">
        <v>46082.000009837961</v>
      </c>
      <c r="I383" s="6" t="s">
        <v>94</v>
      </c>
      <c r="J383" s="6" t="b">
        <f>IF(AND(H383&lt;Config!$B$2,I383&lt;&gt;"Approved / IFI"),TRUE,FALSE)</f>
        <v>0</v>
      </c>
      <c r="K383" s="6" t="str">
        <f t="shared" si="5"/>
        <v>Complete</v>
      </c>
    </row>
    <row r="384" spans="1:11" x14ac:dyDescent="0.25">
      <c r="A384" s="6" t="s">
        <v>976</v>
      </c>
      <c r="B384" s="6" t="s">
        <v>231</v>
      </c>
      <c r="C384" s="6" t="s">
        <v>602</v>
      </c>
      <c r="D384" s="6" t="s">
        <v>51</v>
      </c>
      <c r="E384" s="6" t="s">
        <v>274</v>
      </c>
      <c r="F384" s="6">
        <v>3</v>
      </c>
      <c r="G384" s="11">
        <v>46301.000009837961</v>
      </c>
      <c r="H384" s="11">
        <v>46319.000009837961</v>
      </c>
      <c r="I384" s="6" t="s">
        <v>91</v>
      </c>
      <c r="J384" s="6" t="b">
        <f>IF(AND(H384&lt;Config!$B$2,I384&lt;&gt;"Approved / IFI"),TRUE,FALSE)</f>
        <v>0</v>
      </c>
      <c r="K384" s="6" t="str">
        <f t="shared" si="5"/>
        <v>In Review</v>
      </c>
    </row>
    <row r="385" spans="1:11" x14ac:dyDescent="0.25">
      <c r="A385" s="6" t="s">
        <v>977</v>
      </c>
      <c r="B385" s="6" t="s">
        <v>231</v>
      </c>
      <c r="C385" s="6" t="s">
        <v>488</v>
      </c>
      <c r="D385" s="6" t="s">
        <v>53</v>
      </c>
      <c r="E385" s="6" t="s">
        <v>287</v>
      </c>
      <c r="F385" s="6">
        <v>2</v>
      </c>
      <c r="G385" s="11">
        <v>46246.000009837961</v>
      </c>
      <c r="H385" s="11">
        <v>46264.000009837961</v>
      </c>
      <c r="I385" s="6" t="s">
        <v>90</v>
      </c>
      <c r="J385" s="6" t="b">
        <f>IF(AND(H385&lt;Config!$B$2,I385&lt;&gt;"Approved / IFI"),TRUE,FALSE)</f>
        <v>0</v>
      </c>
      <c r="K385" s="6" t="str">
        <f t="shared" si="5"/>
        <v>In Progress</v>
      </c>
    </row>
    <row r="386" spans="1:11" x14ac:dyDescent="0.25">
      <c r="A386" s="6" t="s">
        <v>978</v>
      </c>
      <c r="B386" s="6" t="s">
        <v>231</v>
      </c>
      <c r="C386" s="6" t="s">
        <v>482</v>
      </c>
      <c r="D386" s="6" t="s">
        <v>50</v>
      </c>
      <c r="E386" s="6" t="s">
        <v>300</v>
      </c>
      <c r="F386" s="6">
        <v>3</v>
      </c>
      <c r="G386" s="11">
        <v>46221.000009837961</v>
      </c>
      <c r="H386" s="11">
        <v>46257.000009837961</v>
      </c>
      <c r="I386" s="6" t="s">
        <v>91</v>
      </c>
      <c r="J386" s="6" t="b">
        <f>IF(AND(H386&lt;Config!$B$2,I386&lt;&gt;"Approved / IFI"),TRUE,FALSE)</f>
        <v>0</v>
      </c>
      <c r="K386" s="6" t="str">
        <f t="shared" ref="K386:K449" si="6">IF(J386=TRUE,"Overdue",IF(I386="Approved / IFI","Complete",IF(I386="Internal Development","In Progress",IF(I386="Revise &amp; Resubmit","Revise","In Review"))))</f>
        <v>In Review</v>
      </c>
    </row>
    <row r="387" spans="1:11" x14ac:dyDescent="0.25">
      <c r="A387" s="6" t="s">
        <v>979</v>
      </c>
      <c r="B387" s="6" t="s">
        <v>231</v>
      </c>
      <c r="C387" s="6" t="s">
        <v>511</v>
      </c>
      <c r="D387" s="6" t="s">
        <v>54</v>
      </c>
      <c r="E387" s="6" t="s">
        <v>144</v>
      </c>
      <c r="F387" s="6">
        <v>2</v>
      </c>
      <c r="G387" s="11">
        <v>46248.000009837961</v>
      </c>
      <c r="H387" s="11">
        <v>46272.000009837961</v>
      </c>
      <c r="I387" s="6" t="s">
        <v>92</v>
      </c>
      <c r="J387" s="6" t="b">
        <f>IF(AND(H387&lt;Config!$B$2,I387&lt;&gt;"Approved / IFI"),TRUE,FALSE)</f>
        <v>0</v>
      </c>
      <c r="K387" s="6" t="str">
        <f t="shared" si="6"/>
        <v>In Review</v>
      </c>
    </row>
    <row r="388" spans="1:11" x14ac:dyDescent="0.25">
      <c r="A388" s="6" t="s">
        <v>980</v>
      </c>
      <c r="B388" s="6" t="s">
        <v>231</v>
      </c>
      <c r="C388" s="6" t="s">
        <v>457</v>
      </c>
      <c r="D388" s="6" t="s">
        <v>52</v>
      </c>
      <c r="E388" s="6" t="s">
        <v>304</v>
      </c>
      <c r="F388" s="6">
        <v>1</v>
      </c>
      <c r="G388" s="11">
        <v>46274.000009837961</v>
      </c>
      <c r="H388" s="11">
        <v>46303.000009837961</v>
      </c>
      <c r="I388" s="6" t="s">
        <v>91</v>
      </c>
      <c r="J388" s="6" t="b">
        <f>IF(AND(H388&lt;Config!$B$2,I388&lt;&gt;"Approved / IFI"),TRUE,FALSE)</f>
        <v>0</v>
      </c>
      <c r="K388" s="6" t="str">
        <f t="shared" si="6"/>
        <v>In Review</v>
      </c>
    </row>
    <row r="389" spans="1:11" x14ac:dyDescent="0.25">
      <c r="A389" s="6" t="s">
        <v>981</v>
      </c>
      <c r="B389" s="6" t="s">
        <v>235</v>
      </c>
      <c r="C389" s="6" t="s">
        <v>684</v>
      </c>
      <c r="D389" s="6" t="s">
        <v>50</v>
      </c>
      <c r="E389" s="6" t="s">
        <v>150</v>
      </c>
      <c r="F389" s="6">
        <v>4</v>
      </c>
      <c r="G389" s="11">
        <v>46089.000009837961</v>
      </c>
      <c r="H389" s="11">
        <v>46125.000009837961</v>
      </c>
      <c r="I389" s="6" t="s">
        <v>94</v>
      </c>
      <c r="J389" s="6" t="b">
        <f>IF(AND(H389&lt;Config!$B$2,I389&lt;&gt;"Approved / IFI"),TRUE,FALSE)</f>
        <v>0</v>
      </c>
      <c r="K389" s="6" t="str">
        <f t="shared" si="6"/>
        <v>Complete</v>
      </c>
    </row>
    <row r="390" spans="1:11" x14ac:dyDescent="0.25">
      <c r="A390" s="6" t="s">
        <v>982</v>
      </c>
      <c r="B390" s="6" t="s">
        <v>235</v>
      </c>
      <c r="C390" s="6" t="s">
        <v>983</v>
      </c>
      <c r="D390" s="6" t="s">
        <v>50</v>
      </c>
      <c r="E390" s="6" t="s">
        <v>137</v>
      </c>
      <c r="F390" s="6">
        <v>3</v>
      </c>
      <c r="G390" s="11">
        <v>46092.000009837961</v>
      </c>
      <c r="H390" s="11">
        <v>46123.000009837961</v>
      </c>
      <c r="I390" s="6" t="s">
        <v>94</v>
      </c>
      <c r="J390" s="6" t="b">
        <f>IF(AND(H390&lt;Config!$B$2,I390&lt;&gt;"Approved / IFI"),TRUE,FALSE)</f>
        <v>0</v>
      </c>
      <c r="K390" s="6" t="str">
        <f t="shared" si="6"/>
        <v>Complete</v>
      </c>
    </row>
    <row r="391" spans="1:11" x14ac:dyDescent="0.25">
      <c r="A391" s="6" t="s">
        <v>984</v>
      </c>
      <c r="B391" s="6" t="s">
        <v>235</v>
      </c>
      <c r="C391" s="6" t="s">
        <v>855</v>
      </c>
      <c r="D391" s="6" t="s">
        <v>50</v>
      </c>
      <c r="E391" s="6" t="s">
        <v>296</v>
      </c>
      <c r="F391" s="6">
        <v>2</v>
      </c>
      <c r="G391" s="11">
        <v>46171.000009837961</v>
      </c>
      <c r="H391" s="11">
        <v>46187.000009837961</v>
      </c>
      <c r="I391" s="6" t="s">
        <v>94</v>
      </c>
      <c r="J391" s="6" t="b">
        <f>IF(AND(H391&lt;Config!$B$2,I391&lt;&gt;"Approved / IFI"),TRUE,FALSE)</f>
        <v>0</v>
      </c>
      <c r="K391" s="6" t="str">
        <f t="shared" si="6"/>
        <v>Complete</v>
      </c>
    </row>
    <row r="392" spans="1:11" x14ac:dyDescent="0.25">
      <c r="A392" s="6" t="s">
        <v>985</v>
      </c>
      <c r="B392" s="6" t="s">
        <v>235</v>
      </c>
      <c r="C392" s="6" t="s">
        <v>500</v>
      </c>
      <c r="D392" s="6" t="s">
        <v>50</v>
      </c>
      <c r="E392" s="6" t="s">
        <v>296</v>
      </c>
      <c r="F392" s="6">
        <v>0</v>
      </c>
      <c r="G392" s="11">
        <v>46198.000009837961</v>
      </c>
      <c r="H392" s="11">
        <v>46233.000009837961</v>
      </c>
      <c r="I392" s="6" t="s">
        <v>94</v>
      </c>
      <c r="J392" s="6" t="b">
        <f>IF(AND(H392&lt;Config!$B$2,I392&lt;&gt;"Approved / IFI"),TRUE,FALSE)</f>
        <v>0</v>
      </c>
      <c r="K392" s="6" t="str">
        <f t="shared" si="6"/>
        <v>Complete</v>
      </c>
    </row>
    <row r="393" spans="1:11" x14ac:dyDescent="0.25">
      <c r="A393" s="6" t="s">
        <v>986</v>
      </c>
      <c r="B393" s="6" t="s">
        <v>235</v>
      </c>
      <c r="C393" s="6" t="s">
        <v>482</v>
      </c>
      <c r="D393" s="6" t="s">
        <v>50</v>
      </c>
      <c r="E393" s="6" t="s">
        <v>300</v>
      </c>
      <c r="F393" s="6">
        <v>3</v>
      </c>
      <c r="G393" s="11">
        <v>46040.000009837961</v>
      </c>
      <c r="H393" s="11">
        <v>46062.000009837961</v>
      </c>
      <c r="I393" s="6" t="s">
        <v>94</v>
      </c>
      <c r="J393" s="6" t="b">
        <f>IF(AND(H393&lt;Config!$B$2,I393&lt;&gt;"Approved / IFI"),TRUE,FALSE)</f>
        <v>0</v>
      </c>
      <c r="K393" s="6" t="str">
        <f t="shared" si="6"/>
        <v>Complete</v>
      </c>
    </row>
    <row r="394" spans="1:11" x14ac:dyDescent="0.25">
      <c r="A394" s="6" t="s">
        <v>987</v>
      </c>
      <c r="B394" s="6" t="s">
        <v>235</v>
      </c>
      <c r="C394" s="6" t="s">
        <v>571</v>
      </c>
      <c r="D394" s="6" t="s">
        <v>51</v>
      </c>
      <c r="E394" s="6" t="s">
        <v>292</v>
      </c>
      <c r="F394" s="6">
        <v>0</v>
      </c>
      <c r="G394" s="11">
        <v>46152.000009837961</v>
      </c>
      <c r="H394" s="11">
        <v>46176.000009837961</v>
      </c>
      <c r="I394" s="6" t="s">
        <v>94</v>
      </c>
      <c r="J394" s="6" t="b">
        <f>IF(AND(H394&lt;Config!$B$2,I394&lt;&gt;"Approved / IFI"),TRUE,FALSE)</f>
        <v>0</v>
      </c>
      <c r="K394" s="6" t="str">
        <f t="shared" si="6"/>
        <v>Complete</v>
      </c>
    </row>
    <row r="395" spans="1:11" x14ac:dyDescent="0.25">
      <c r="A395" s="6" t="s">
        <v>988</v>
      </c>
      <c r="B395" s="6" t="s">
        <v>235</v>
      </c>
      <c r="C395" s="6" t="s">
        <v>684</v>
      </c>
      <c r="D395" s="6" t="s">
        <v>50</v>
      </c>
      <c r="E395" s="6" t="s">
        <v>300</v>
      </c>
      <c r="F395" s="6">
        <v>1</v>
      </c>
      <c r="G395" s="11">
        <v>46054.000009837961</v>
      </c>
      <c r="H395" s="11">
        <v>46070.000009837961</v>
      </c>
      <c r="I395" s="6" t="s">
        <v>94</v>
      </c>
      <c r="J395" s="6" t="b">
        <f>IF(AND(H395&lt;Config!$B$2,I395&lt;&gt;"Approved / IFI"),TRUE,FALSE)</f>
        <v>0</v>
      </c>
      <c r="K395" s="6" t="str">
        <f t="shared" si="6"/>
        <v>Complete</v>
      </c>
    </row>
    <row r="396" spans="1:11" x14ac:dyDescent="0.25">
      <c r="A396" s="6" t="s">
        <v>989</v>
      </c>
      <c r="B396" s="6" t="s">
        <v>235</v>
      </c>
      <c r="C396" s="6" t="s">
        <v>569</v>
      </c>
      <c r="D396" s="6" t="s">
        <v>53</v>
      </c>
      <c r="E396" s="6" t="s">
        <v>156</v>
      </c>
      <c r="F396" s="6">
        <v>0</v>
      </c>
      <c r="G396" s="11">
        <v>46169.000009837961</v>
      </c>
      <c r="H396" s="11">
        <v>46208.000009837961</v>
      </c>
      <c r="I396" s="6" t="s">
        <v>94</v>
      </c>
      <c r="J396" s="6" t="b">
        <f>IF(AND(H396&lt;Config!$B$2,I396&lt;&gt;"Approved / IFI"),TRUE,FALSE)</f>
        <v>0</v>
      </c>
      <c r="K396" s="6" t="str">
        <f t="shared" si="6"/>
        <v>Complete</v>
      </c>
    </row>
    <row r="397" spans="1:11" x14ac:dyDescent="0.25">
      <c r="A397" s="6" t="s">
        <v>990</v>
      </c>
      <c r="B397" s="6" t="s">
        <v>235</v>
      </c>
      <c r="C397" s="6" t="s">
        <v>529</v>
      </c>
      <c r="D397" s="6" t="s">
        <v>51</v>
      </c>
      <c r="E397" s="6" t="s">
        <v>292</v>
      </c>
      <c r="F397" s="6">
        <v>0</v>
      </c>
      <c r="G397" s="11">
        <v>46123.000009837961</v>
      </c>
      <c r="H397" s="11">
        <v>46145.000009837961</v>
      </c>
      <c r="I397" s="6" t="s">
        <v>94</v>
      </c>
      <c r="J397" s="6" t="b">
        <f>IF(AND(H397&lt;Config!$B$2,I397&lt;&gt;"Approved / IFI"),TRUE,FALSE)</f>
        <v>0</v>
      </c>
      <c r="K397" s="6" t="str">
        <f t="shared" si="6"/>
        <v>Complete</v>
      </c>
    </row>
    <row r="398" spans="1:11" x14ac:dyDescent="0.25">
      <c r="A398" s="6" t="s">
        <v>991</v>
      </c>
      <c r="B398" s="6" t="s">
        <v>235</v>
      </c>
      <c r="C398" s="6" t="s">
        <v>560</v>
      </c>
      <c r="D398" s="6" t="s">
        <v>53</v>
      </c>
      <c r="E398" s="6" t="s">
        <v>156</v>
      </c>
      <c r="F398" s="6">
        <v>4</v>
      </c>
      <c r="G398" s="11">
        <v>46122.000009837961</v>
      </c>
      <c r="H398" s="11">
        <v>46139.000009837961</v>
      </c>
      <c r="I398" s="6" t="s">
        <v>94</v>
      </c>
      <c r="J398" s="6" t="b">
        <f>IF(AND(H398&lt;Config!$B$2,I398&lt;&gt;"Approved / IFI"),TRUE,FALSE)</f>
        <v>0</v>
      </c>
      <c r="K398" s="6" t="str">
        <f t="shared" si="6"/>
        <v>Complete</v>
      </c>
    </row>
    <row r="399" spans="1:11" x14ac:dyDescent="0.25">
      <c r="A399" s="6" t="s">
        <v>992</v>
      </c>
      <c r="B399" s="6" t="s">
        <v>235</v>
      </c>
      <c r="C399" s="6" t="s">
        <v>451</v>
      </c>
      <c r="D399" s="6" t="s">
        <v>51</v>
      </c>
      <c r="E399" s="6" t="s">
        <v>276</v>
      </c>
      <c r="F399" s="6">
        <v>3</v>
      </c>
      <c r="G399" s="11">
        <v>46055.000009837961</v>
      </c>
      <c r="H399" s="11">
        <v>46085.000009837961</v>
      </c>
      <c r="I399" s="6" t="s">
        <v>94</v>
      </c>
      <c r="J399" s="6" t="b">
        <f>IF(AND(H399&lt;Config!$B$2,I399&lt;&gt;"Approved / IFI"),TRUE,FALSE)</f>
        <v>0</v>
      </c>
      <c r="K399" s="6" t="str">
        <f t="shared" si="6"/>
        <v>Complete</v>
      </c>
    </row>
    <row r="400" spans="1:11" x14ac:dyDescent="0.25">
      <c r="A400" s="6" t="s">
        <v>993</v>
      </c>
      <c r="B400" s="6" t="s">
        <v>235</v>
      </c>
      <c r="C400" s="6" t="s">
        <v>841</v>
      </c>
      <c r="D400" s="6" t="s">
        <v>55</v>
      </c>
      <c r="E400" s="6" t="s">
        <v>193</v>
      </c>
      <c r="F400" s="6">
        <v>4</v>
      </c>
      <c r="G400" s="11">
        <v>46022.000009837961</v>
      </c>
      <c r="H400" s="11">
        <v>46052.000009837961</v>
      </c>
      <c r="I400" s="6" t="s">
        <v>94</v>
      </c>
      <c r="J400" s="6" t="b">
        <f>IF(AND(H400&lt;Config!$B$2,I400&lt;&gt;"Approved / IFI"),TRUE,FALSE)</f>
        <v>0</v>
      </c>
      <c r="K400" s="6" t="str">
        <f t="shared" si="6"/>
        <v>Complete</v>
      </c>
    </row>
    <row r="401" spans="1:11" x14ac:dyDescent="0.25">
      <c r="A401" s="6" t="s">
        <v>994</v>
      </c>
      <c r="B401" s="6" t="s">
        <v>235</v>
      </c>
      <c r="C401" s="6" t="s">
        <v>995</v>
      </c>
      <c r="D401" s="6" t="s">
        <v>53</v>
      </c>
      <c r="E401" s="6" t="s">
        <v>156</v>
      </c>
      <c r="F401" s="6">
        <v>2</v>
      </c>
      <c r="G401" s="11">
        <v>46150.000009837961</v>
      </c>
      <c r="H401" s="11">
        <v>46177.000009837961</v>
      </c>
      <c r="I401" s="6" t="s">
        <v>94</v>
      </c>
      <c r="J401" s="6" t="b">
        <f>IF(AND(H401&lt;Config!$B$2,I401&lt;&gt;"Approved / IFI"),TRUE,FALSE)</f>
        <v>0</v>
      </c>
      <c r="K401" s="6" t="str">
        <f t="shared" si="6"/>
        <v>Complete</v>
      </c>
    </row>
    <row r="402" spans="1:11" x14ac:dyDescent="0.25">
      <c r="A402" s="6" t="s">
        <v>996</v>
      </c>
      <c r="B402" s="6" t="s">
        <v>235</v>
      </c>
      <c r="C402" s="6" t="s">
        <v>493</v>
      </c>
      <c r="D402" s="6" t="s">
        <v>54</v>
      </c>
      <c r="E402" s="6" t="s">
        <v>201</v>
      </c>
      <c r="F402" s="6">
        <v>1</v>
      </c>
      <c r="G402" s="11">
        <v>46169.000009837961</v>
      </c>
      <c r="H402" s="11">
        <v>46191.000009837961</v>
      </c>
      <c r="I402" s="6" t="s">
        <v>94</v>
      </c>
      <c r="J402" s="6" t="b">
        <f>IF(AND(H402&lt;Config!$B$2,I402&lt;&gt;"Approved / IFI"),TRUE,FALSE)</f>
        <v>0</v>
      </c>
      <c r="K402" s="6" t="str">
        <f t="shared" si="6"/>
        <v>Complete</v>
      </c>
    </row>
    <row r="403" spans="1:11" x14ac:dyDescent="0.25">
      <c r="A403" s="6" t="s">
        <v>997</v>
      </c>
      <c r="B403" s="6" t="s">
        <v>235</v>
      </c>
      <c r="C403" s="6" t="s">
        <v>453</v>
      </c>
      <c r="D403" s="6" t="s">
        <v>52</v>
      </c>
      <c r="E403" s="6" t="s">
        <v>304</v>
      </c>
      <c r="F403" s="6">
        <v>2</v>
      </c>
      <c r="G403" s="11">
        <v>46076.000009837961</v>
      </c>
      <c r="H403" s="11">
        <v>46100.000009837961</v>
      </c>
      <c r="I403" s="6" t="s">
        <v>94</v>
      </c>
      <c r="J403" s="6" t="b">
        <f>IF(AND(H403&lt;Config!$B$2,I403&lt;&gt;"Approved / IFI"),TRUE,FALSE)</f>
        <v>0</v>
      </c>
      <c r="K403" s="6" t="str">
        <f t="shared" si="6"/>
        <v>Complete</v>
      </c>
    </row>
    <row r="404" spans="1:11" x14ac:dyDescent="0.25">
      <c r="A404" s="6" t="s">
        <v>998</v>
      </c>
      <c r="B404" s="6" t="s">
        <v>235</v>
      </c>
      <c r="C404" s="6" t="s">
        <v>469</v>
      </c>
      <c r="D404" s="6" t="s">
        <v>53</v>
      </c>
      <c r="E404" s="6" t="s">
        <v>289</v>
      </c>
      <c r="F404" s="6">
        <v>1</v>
      </c>
      <c r="G404" s="11">
        <v>46135.000009837961</v>
      </c>
      <c r="H404" s="11">
        <v>46171.000009837961</v>
      </c>
      <c r="I404" s="6" t="s">
        <v>94</v>
      </c>
      <c r="J404" s="6" t="b">
        <f>IF(AND(H404&lt;Config!$B$2,I404&lt;&gt;"Approved / IFI"),TRUE,FALSE)</f>
        <v>0</v>
      </c>
      <c r="K404" s="6" t="str">
        <f t="shared" si="6"/>
        <v>Complete</v>
      </c>
    </row>
    <row r="405" spans="1:11" x14ac:dyDescent="0.25">
      <c r="A405" s="6" t="s">
        <v>999</v>
      </c>
      <c r="B405" s="6" t="s">
        <v>235</v>
      </c>
      <c r="C405" s="6" t="s">
        <v>678</v>
      </c>
      <c r="D405" s="6" t="s">
        <v>50</v>
      </c>
      <c r="E405" s="6" t="s">
        <v>156</v>
      </c>
      <c r="F405" s="6">
        <v>2</v>
      </c>
      <c r="G405" s="11">
        <v>46063.000009837961</v>
      </c>
      <c r="H405" s="11">
        <v>46075.000009837961</v>
      </c>
      <c r="I405" s="6" t="s">
        <v>94</v>
      </c>
      <c r="J405" s="6" t="b">
        <f>IF(AND(H405&lt;Config!$B$2,I405&lt;&gt;"Approved / IFI"),TRUE,FALSE)</f>
        <v>0</v>
      </c>
      <c r="K405" s="6" t="str">
        <f t="shared" si="6"/>
        <v>Complete</v>
      </c>
    </row>
    <row r="406" spans="1:11" x14ac:dyDescent="0.25">
      <c r="A406" s="6" t="s">
        <v>1000</v>
      </c>
      <c r="B406" s="6" t="s">
        <v>235</v>
      </c>
      <c r="C406" s="6" t="s">
        <v>1001</v>
      </c>
      <c r="D406" s="6" t="s">
        <v>51</v>
      </c>
      <c r="E406" s="6" t="s">
        <v>274</v>
      </c>
      <c r="F406" s="6">
        <v>2</v>
      </c>
      <c r="G406" s="11">
        <v>46152.000009837961</v>
      </c>
      <c r="H406" s="11">
        <v>46185.000009837961</v>
      </c>
      <c r="I406" s="6" t="s">
        <v>94</v>
      </c>
      <c r="J406" s="6" t="b">
        <f>IF(AND(H406&lt;Config!$B$2,I406&lt;&gt;"Approved / IFI"),TRUE,FALSE)</f>
        <v>0</v>
      </c>
      <c r="K406" s="6" t="str">
        <f t="shared" si="6"/>
        <v>Complete</v>
      </c>
    </row>
    <row r="407" spans="1:11" x14ac:dyDescent="0.25">
      <c r="A407" s="6" t="s">
        <v>1002</v>
      </c>
      <c r="B407" s="6" t="s">
        <v>235</v>
      </c>
      <c r="C407" s="6" t="s">
        <v>569</v>
      </c>
      <c r="D407" s="6" t="s">
        <v>53</v>
      </c>
      <c r="E407" s="6" t="s">
        <v>168</v>
      </c>
      <c r="F407" s="6">
        <v>1</v>
      </c>
      <c r="G407" s="11">
        <v>46189.000009837961</v>
      </c>
      <c r="H407" s="11">
        <v>46203.000009837961</v>
      </c>
      <c r="I407" s="6" t="s">
        <v>94</v>
      </c>
      <c r="J407" s="6" t="b">
        <f>IF(AND(H407&lt;Config!$B$2,I407&lt;&gt;"Approved / IFI"),TRUE,FALSE)</f>
        <v>0</v>
      </c>
      <c r="K407" s="6" t="str">
        <f t="shared" si="6"/>
        <v>Complete</v>
      </c>
    </row>
    <row r="408" spans="1:11" x14ac:dyDescent="0.25">
      <c r="A408" s="6" t="s">
        <v>1003</v>
      </c>
      <c r="B408" s="6" t="s">
        <v>235</v>
      </c>
      <c r="C408" s="6" t="s">
        <v>711</v>
      </c>
      <c r="D408" s="6" t="s">
        <v>53</v>
      </c>
      <c r="E408" s="6" t="s">
        <v>156</v>
      </c>
      <c r="F408" s="6">
        <v>1</v>
      </c>
      <c r="G408" s="11">
        <v>46118.000009837961</v>
      </c>
      <c r="H408" s="11">
        <v>46157.000009837961</v>
      </c>
      <c r="I408" s="6" t="s">
        <v>94</v>
      </c>
      <c r="J408" s="6" t="b">
        <f>IF(AND(H408&lt;Config!$B$2,I408&lt;&gt;"Approved / IFI"),TRUE,FALSE)</f>
        <v>0</v>
      </c>
      <c r="K408" s="6" t="str">
        <f t="shared" si="6"/>
        <v>Complete</v>
      </c>
    </row>
    <row r="409" spans="1:11" x14ac:dyDescent="0.25">
      <c r="A409" s="6" t="s">
        <v>1004</v>
      </c>
      <c r="B409" s="6" t="s">
        <v>235</v>
      </c>
      <c r="C409" s="6" t="s">
        <v>1005</v>
      </c>
      <c r="D409" s="6" t="s">
        <v>55</v>
      </c>
      <c r="E409" s="6" t="s">
        <v>308</v>
      </c>
      <c r="F409" s="6">
        <v>3</v>
      </c>
      <c r="G409" s="11">
        <v>46121.000009837961</v>
      </c>
      <c r="H409" s="11">
        <v>46156.000009837961</v>
      </c>
      <c r="I409" s="6" t="s">
        <v>94</v>
      </c>
      <c r="J409" s="6" t="b">
        <f>IF(AND(H409&lt;Config!$B$2,I409&lt;&gt;"Approved / IFI"),TRUE,FALSE)</f>
        <v>0</v>
      </c>
      <c r="K409" s="6" t="str">
        <f t="shared" si="6"/>
        <v>Complete</v>
      </c>
    </row>
    <row r="410" spans="1:11" x14ac:dyDescent="0.25">
      <c r="A410" s="6" t="s">
        <v>1006</v>
      </c>
      <c r="B410" s="6" t="s">
        <v>235</v>
      </c>
      <c r="C410" s="6" t="s">
        <v>1007</v>
      </c>
      <c r="D410" s="6" t="s">
        <v>52</v>
      </c>
      <c r="E410" s="6" t="s">
        <v>304</v>
      </c>
      <c r="F410" s="6">
        <v>4</v>
      </c>
      <c r="G410" s="11">
        <v>46192.000009837961</v>
      </c>
      <c r="H410" s="11">
        <v>46211.000009837961</v>
      </c>
      <c r="I410" s="6" t="s">
        <v>94</v>
      </c>
      <c r="J410" s="6" t="b">
        <f>IF(AND(H410&lt;Config!$B$2,I410&lt;&gt;"Approved / IFI"),TRUE,FALSE)</f>
        <v>0</v>
      </c>
      <c r="K410" s="6" t="str">
        <f t="shared" si="6"/>
        <v>Complete</v>
      </c>
    </row>
    <row r="411" spans="1:11" x14ac:dyDescent="0.25">
      <c r="A411" s="6" t="s">
        <v>1008</v>
      </c>
      <c r="B411" s="6" t="s">
        <v>235</v>
      </c>
      <c r="C411" s="6" t="s">
        <v>531</v>
      </c>
      <c r="D411" s="6" t="s">
        <v>53</v>
      </c>
      <c r="E411" s="6" t="s">
        <v>289</v>
      </c>
      <c r="F411" s="6">
        <v>0</v>
      </c>
      <c r="G411" s="11">
        <v>46015.000009837961</v>
      </c>
      <c r="H411" s="11">
        <v>46053.000009837961</v>
      </c>
      <c r="I411" s="6" t="s">
        <v>94</v>
      </c>
      <c r="J411" s="6" t="b">
        <f>IF(AND(H411&lt;Config!$B$2,I411&lt;&gt;"Approved / IFI"),TRUE,FALSE)</f>
        <v>0</v>
      </c>
      <c r="K411" s="6" t="str">
        <f t="shared" si="6"/>
        <v>Complete</v>
      </c>
    </row>
    <row r="412" spans="1:11" x14ac:dyDescent="0.25">
      <c r="A412" s="6" t="s">
        <v>1009</v>
      </c>
      <c r="B412" s="6" t="s">
        <v>235</v>
      </c>
      <c r="C412" s="6" t="s">
        <v>841</v>
      </c>
      <c r="D412" s="6" t="s">
        <v>55</v>
      </c>
      <c r="E412" s="6" t="s">
        <v>310</v>
      </c>
      <c r="F412" s="6">
        <v>4</v>
      </c>
      <c r="G412" s="11">
        <v>46224.000009837961</v>
      </c>
      <c r="H412" s="11">
        <v>46264.000009837961</v>
      </c>
      <c r="I412" s="6" t="s">
        <v>91</v>
      </c>
      <c r="J412" s="6" t="b">
        <f>IF(AND(H412&lt;Config!$B$2,I412&lt;&gt;"Approved / IFI"),TRUE,FALSE)</f>
        <v>0</v>
      </c>
      <c r="K412" s="6" t="str">
        <f t="shared" si="6"/>
        <v>In Review</v>
      </c>
    </row>
    <row r="413" spans="1:11" x14ac:dyDescent="0.25">
      <c r="A413" s="6" t="s">
        <v>1010</v>
      </c>
      <c r="B413" s="6" t="s">
        <v>235</v>
      </c>
      <c r="C413" s="6" t="s">
        <v>451</v>
      </c>
      <c r="D413" s="6" t="s">
        <v>51</v>
      </c>
      <c r="E413" s="6" t="s">
        <v>276</v>
      </c>
      <c r="F413" s="6">
        <v>2</v>
      </c>
      <c r="G413" s="11">
        <v>46274.000009837961</v>
      </c>
      <c r="H413" s="11">
        <v>46299.000009837961</v>
      </c>
      <c r="I413" s="6" t="s">
        <v>93</v>
      </c>
      <c r="J413" s="6" t="b">
        <f>IF(AND(H413&lt;Config!$B$2,I413&lt;&gt;"Approved / IFI"),TRUE,FALSE)</f>
        <v>0</v>
      </c>
      <c r="K413" s="6" t="str">
        <f t="shared" si="6"/>
        <v>Revise</v>
      </c>
    </row>
    <row r="414" spans="1:11" x14ac:dyDescent="0.25">
      <c r="A414" s="6" t="s">
        <v>1011</v>
      </c>
      <c r="B414" s="6" t="s">
        <v>235</v>
      </c>
      <c r="C414" s="6" t="s">
        <v>569</v>
      </c>
      <c r="D414" s="6" t="s">
        <v>53</v>
      </c>
      <c r="E414" s="6" t="s">
        <v>168</v>
      </c>
      <c r="F414" s="6">
        <v>2</v>
      </c>
      <c r="G414" s="11">
        <v>46266.000009837961</v>
      </c>
      <c r="H414" s="11">
        <v>46308.000009837961</v>
      </c>
      <c r="I414" s="6" t="s">
        <v>91</v>
      </c>
      <c r="J414" s="6" t="b">
        <f>IF(AND(H414&lt;Config!$B$2,I414&lt;&gt;"Approved / IFI"),TRUE,FALSE)</f>
        <v>0</v>
      </c>
      <c r="K414" s="6" t="str">
        <f t="shared" si="6"/>
        <v>In Review</v>
      </c>
    </row>
    <row r="415" spans="1:11" x14ac:dyDescent="0.25">
      <c r="A415" s="6" t="s">
        <v>1012</v>
      </c>
      <c r="B415" s="6" t="s">
        <v>238</v>
      </c>
      <c r="C415" s="6" t="s">
        <v>488</v>
      </c>
      <c r="D415" s="6" t="s">
        <v>53</v>
      </c>
      <c r="E415" s="6" t="s">
        <v>289</v>
      </c>
      <c r="F415" s="6">
        <v>3</v>
      </c>
      <c r="G415" s="11">
        <v>46084.000009837961</v>
      </c>
      <c r="H415" s="11">
        <v>46110.000009837961</v>
      </c>
      <c r="I415" s="6" t="s">
        <v>94</v>
      </c>
      <c r="J415" s="6" t="b">
        <f>IF(AND(H415&lt;Config!$B$2,I415&lt;&gt;"Approved / IFI"),TRUE,FALSE)</f>
        <v>0</v>
      </c>
      <c r="K415" s="6" t="str">
        <f t="shared" si="6"/>
        <v>Complete</v>
      </c>
    </row>
    <row r="416" spans="1:11" x14ac:dyDescent="0.25">
      <c r="A416" s="6" t="s">
        <v>1013</v>
      </c>
      <c r="B416" s="6" t="s">
        <v>238</v>
      </c>
      <c r="C416" s="6" t="s">
        <v>562</v>
      </c>
      <c r="D416" s="6" t="s">
        <v>50</v>
      </c>
      <c r="E416" s="6" t="s">
        <v>156</v>
      </c>
      <c r="F416" s="6">
        <v>1</v>
      </c>
      <c r="G416" s="11">
        <v>46057.000009837961</v>
      </c>
      <c r="H416" s="11">
        <v>46096.000009837961</v>
      </c>
      <c r="I416" s="6" t="s">
        <v>94</v>
      </c>
      <c r="J416" s="6" t="b">
        <f>IF(AND(H416&lt;Config!$B$2,I416&lt;&gt;"Approved / IFI"),TRUE,FALSE)</f>
        <v>0</v>
      </c>
      <c r="K416" s="6" t="str">
        <f t="shared" si="6"/>
        <v>Complete</v>
      </c>
    </row>
    <row r="417" spans="1:11" x14ac:dyDescent="0.25">
      <c r="A417" s="6" t="s">
        <v>1014</v>
      </c>
      <c r="B417" s="6" t="s">
        <v>238</v>
      </c>
      <c r="C417" s="6" t="s">
        <v>471</v>
      </c>
      <c r="D417" s="6" t="s">
        <v>51</v>
      </c>
      <c r="E417" s="6" t="s">
        <v>292</v>
      </c>
      <c r="F417" s="6">
        <v>3</v>
      </c>
      <c r="G417" s="11">
        <v>46068.000009837961</v>
      </c>
      <c r="H417" s="11">
        <v>46079.000009837961</v>
      </c>
      <c r="I417" s="6" t="s">
        <v>94</v>
      </c>
      <c r="J417" s="6" t="b">
        <f>IF(AND(H417&lt;Config!$B$2,I417&lt;&gt;"Approved / IFI"),TRUE,FALSE)</f>
        <v>0</v>
      </c>
      <c r="K417" s="6" t="str">
        <f t="shared" si="6"/>
        <v>Complete</v>
      </c>
    </row>
    <row r="418" spans="1:11" x14ac:dyDescent="0.25">
      <c r="A418" s="6" t="s">
        <v>1015</v>
      </c>
      <c r="B418" s="6" t="s">
        <v>238</v>
      </c>
      <c r="C418" s="6" t="s">
        <v>451</v>
      </c>
      <c r="D418" s="6" t="s">
        <v>51</v>
      </c>
      <c r="E418" s="6" t="s">
        <v>274</v>
      </c>
      <c r="F418" s="6">
        <v>2</v>
      </c>
      <c r="G418" s="11">
        <v>46060.000009837961</v>
      </c>
      <c r="H418" s="11">
        <v>46076.000009837961</v>
      </c>
      <c r="I418" s="6" t="s">
        <v>94</v>
      </c>
      <c r="J418" s="6" t="b">
        <f>IF(AND(H418&lt;Config!$B$2,I418&lt;&gt;"Approved / IFI"),TRUE,FALSE)</f>
        <v>0</v>
      </c>
      <c r="K418" s="6" t="str">
        <f t="shared" si="6"/>
        <v>Complete</v>
      </c>
    </row>
    <row r="419" spans="1:11" x14ac:dyDescent="0.25">
      <c r="A419" s="6" t="s">
        <v>1016</v>
      </c>
      <c r="B419" s="6" t="s">
        <v>238</v>
      </c>
      <c r="C419" s="6" t="s">
        <v>500</v>
      </c>
      <c r="D419" s="6" t="s">
        <v>50</v>
      </c>
      <c r="E419" s="6" t="s">
        <v>298</v>
      </c>
      <c r="F419" s="6">
        <v>1</v>
      </c>
      <c r="G419" s="11">
        <v>46178.000009837961</v>
      </c>
      <c r="H419" s="11">
        <v>46197.000009837961</v>
      </c>
      <c r="I419" s="6" t="s">
        <v>94</v>
      </c>
      <c r="J419" s="6" t="b">
        <f>IF(AND(H419&lt;Config!$B$2,I419&lt;&gt;"Approved / IFI"),TRUE,FALSE)</f>
        <v>0</v>
      </c>
      <c r="K419" s="6" t="str">
        <f t="shared" si="6"/>
        <v>Complete</v>
      </c>
    </row>
    <row r="420" spans="1:11" x14ac:dyDescent="0.25">
      <c r="A420" s="6" t="s">
        <v>1017</v>
      </c>
      <c r="B420" s="6" t="s">
        <v>238</v>
      </c>
      <c r="C420" s="6" t="s">
        <v>473</v>
      </c>
      <c r="D420" s="6" t="s">
        <v>53</v>
      </c>
      <c r="E420" s="6" t="s">
        <v>287</v>
      </c>
      <c r="F420" s="6">
        <v>2</v>
      </c>
      <c r="G420" s="11">
        <v>46138.000009837961</v>
      </c>
      <c r="H420" s="11">
        <v>46162.000009837961</v>
      </c>
      <c r="I420" s="6" t="s">
        <v>94</v>
      </c>
      <c r="J420" s="6" t="b">
        <f>IF(AND(H420&lt;Config!$B$2,I420&lt;&gt;"Approved / IFI"),TRUE,FALSE)</f>
        <v>0</v>
      </c>
      <c r="K420" s="6" t="str">
        <f t="shared" si="6"/>
        <v>Complete</v>
      </c>
    </row>
    <row r="421" spans="1:11" x14ac:dyDescent="0.25">
      <c r="A421" s="6" t="s">
        <v>1018</v>
      </c>
      <c r="B421" s="6" t="s">
        <v>238</v>
      </c>
      <c r="C421" s="6" t="s">
        <v>498</v>
      </c>
      <c r="D421" s="6" t="s">
        <v>52</v>
      </c>
      <c r="E421" s="6" t="s">
        <v>306</v>
      </c>
      <c r="F421" s="6">
        <v>4</v>
      </c>
      <c r="G421" s="11">
        <v>46150.000009837961</v>
      </c>
      <c r="H421" s="11">
        <v>46177.000009837961</v>
      </c>
      <c r="I421" s="6" t="s">
        <v>94</v>
      </c>
      <c r="J421" s="6" t="b">
        <f>IF(AND(H421&lt;Config!$B$2,I421&lt;&gt;"Approved / IFI"),TRUE,FALSE)</f>
        <v>0</v>
      </c>
      <c r="K421" s="6" t="str">
        <f t="shared" si="6"/>
        <v>Complete</v>
      </c>
    </row>
    <row r="422" spans="1:11" x14ac:dyDescent="0.25">
      <c r="A422" s="6" t="s">
        <v>1019</v>
      </c>
      <c r="B422" s="6" t="s">
        <v>238</v>
      </c>
      <c r="C422" s="6" t="s">
        <v>467</v>
      </c>
      <c r="D422" s="6" t="s">
        <v>53</v>
      </c>
      <c r="E422" s="6" t="s">
        <v>287</v>
      </c>
      <c r="F422" s="6">
        <v>2</v>
      </c>
      <c r="G422" s="11">
        <v>46149.000009837961</v>
      </c>
      <c r="H422" s="11">
        <v>46187.000009837961</v>
      </c>
      <c r="I422" s="6" t="s">
        <v>94</v>
      </c>
      <c r="J422" s="6" t="b">
        <f>IF(AND(H422&lt;Config!$B$2,I422&lt;&gt;"Approved / IFI"),TRUE,FALSE)</f>
        <v>0</v>
      </c>
      <c r="K422" s="6" t="str">
        <f t="shared" si="6"/>
        <v>Complete</v>
      </c>
    </row>
    <row r="423" spans="1:11" x14ac:dyDescent="0.25">
      <c r="A423" s="6" t="s">
        <v>1020</v>
      </c>
      <c r="B423" s="6" t="s">
        <v>238</v>
      </c>
      <c r="C423" s="6" t="s">
        <v>502</v>
      </c>
      <c r="D423" s="6" t="s">
        <v>50</v>
      </c>
      <c r="E423" s="6" t="s">
        <v>296</v>
      </c>
      <c r="F423" s="6">
        <v>0</v>
      </c>
      <c r="G423" s="11">
        <v>46213.000009837961</v>
      </c>
      <c r="H423" s="11">
        <v>46234.000009837961</v>
      </c>
      <c r="I423" s="6" t="s">
        <v>94</v>
      </c>
      <c r="J423" s="6" t="b">
        <f>IF(AND(H423&lt;Config!$B$2,I423&lt;&gt;"Approved / IFI"),TRUE,FALSE)</f>
        <v>0</v>
      </c>
      <c r="K423" s="6" t="str">
        <f t="shared" si="6"/>
        <v>Complete</v>
      </c>
    </row>
    <row r="424" spans="1:11" x14ac:dyDescent="0.25">
      <c r="A424" s="6" t="s">
        <v>1021</v>
      </c>
      <c r="B424" s="6" t="s">
        <v>238</v>
      </c>
      <c r="C424" s="6" t="s">
        <v>511</v>
      </c>
      <c r="D424" s="6" t="s">
        <v>54</v>
      </c>
      <c r="E424" s="6" t="s">
        <v>284</v>
      </c>
      <c r="F424" s="6">
        <v>2</v>
      </c>
      <c r="G424" s="11">
        <v>46124.000009837961</v>
      </c>
      <c r="H424" s="11">
        <v>46152.000009837961</v>
      </c>
      <c r="I424" s="6" t="s">
        <v>94</v>
      </c>
      <c r="J424" s="6" t="b">
        <f>IF(AND(H424&lt;Config!$B$2,I424&lt;&gt;"Approved / IFI"),TRUE,FALSE)</f>
        <v>0</v>
      </c>
      <c r="K424" s="6" t="str">
        <f t="shared" si="6"/>
        <v>Complete</v>
      </c>
    </row>
    <row r="425" spans="1:11" x14ac:dyDescent="0.25">
      <c r="A425" s="6" t="s">
        <v>1022</v>
      </c>
      <c r="B425" s="6" t="s">
        <v>238</v>
      </c>
      <c r="C425" s="6" t="s">
        <v>453</v>
      </c>
      <c r="D425" s="6" t="s">
        <v>52</v>
      </c>
      <c r="E425" s="6" t="s">
        <v>183</v>
      </c>
      <c r="F425" s="6">
        <v>2</v>
      </c>
      <c r="G425" s="11">
        <v>46107.000009837961</v>
      </c>
      <c r="H425" s="11">
        <v>46129.000009837961</v>
      </c>
      <c r="I425" s="6" t="s">
        <v>94</v>
      </c>
      <c r="J425" s="6" t="b">
        <f>IF(AND(H425&lt;Config!$B$2,I425&lt;&gt;"Approved / IFI"),TRUE,FALSE)</f>
        <v>0</v>
      </c>
      <c r="K425" s="6" t="str">
        <f t="shared" si="6"/>
        <v>Complete</v>
      </c>
    </row>
    <row r="426" spans="1:11" x14ac:dyDescent="0.25">
      <c r="A426" s="6" t="s">
        <v>1023</v>
      </c>
      <c r="B426" s="6" t="s">
        <v>238</v>
      </c>
      <c r="C426" s="6" t="s">
        <v>523</v>
      </c>
      <c r="D426" s="6" t="s">
        <v>52</v>
      </c>
      <c r="E426" s="6" t="s">
        <v>183</v>
      </c>
      <c r="F426" s="6">
        <v>3</v>
      </c>
      <c r="G426" s="11">
        <v>46161.000009837961</v>
      </c>
      <c r="H426" s="11">
        <v>46174.000009837961</v>
      </c>
      <c r="I426" s="6" t="s">
        <v>94</v>
      </c>
      <c r="J426" s="6" t="b">
        <f>IF(AND(H426&lt;Config!$B$2,I426&lt;&gt;"Approved / IFI"),TRUE,FALSE)</f>
        <v>0</v>
      </c>
      <c r="K426" s="6" t="str">
        <f t="shared" si="6"/>
        <v>Complete</v>
      </c>
    </row>
    <row r="427" spans="1:11" x14ac:dyDescent="0.25">
      <c r="A427" s="6" t="s">
        <v>1024</v>
      </c>
      <c r="B427" s="6" t="s">
        <v>238</v>
      </c>
      <c r="C427" s="6" t="s">
        <v>504</v>
      </c>
      <c r="D427" s="6" t="s">
        <v>50</v>
      </c>
      <c r="E427" s="6" t="s">
        <v>300</v>
      </c>
      <c r="F427" s="6">
        <v>0</v>
      </c>
      <c r="G427" s="11">
        <v>46044.000009837961</v>
      </c>
      <c r="H427" s="11">
        <v>46057.000009837961</v>
      </c>
      <c r="I427" s="6" t="s">
        <v>94</v>
      </c>
      <c r="J427" s="6" t="b">
        <f>IF(AND(H427&lt;Config!$B$2,I427&lt;&gt;"Approved / IFI"),TRUE,FALSE)</f>
        <v>0</v>
      </c>
      <c r="K427" s="6" t="str">
        <f t="shared" si="6"/>
        <v>Complete</v>
      </c>
    </row>
    <row r="428" spans="1:11" x14ac:dyDescent="0.25">
      <c r="A428" s="6" t="s">
        <v>1025</v>
      </c>
      <c r="B428" s="6" t="s">
        <v>238</v>
      </c>
      <c r="C428" s="6" t="s">
        <v>541</v>
      </c>
      <c r="D428" s="6" t="s">
        <v>51</v>
      </c>
      <c r="E428" s="6" t="s">
        <v>292</v>
      </c>
      <c r="F428" s="6">
        <v>0</v>
      </c>
      <c r="G428" s="11">
        <v>46285.000009837961</v>
      </c>
      <c r="H428" s="11">
        <v>46321.000009837961</v>
      </c>
      <c r="I428" s="6" t="s">
        <v>91</v>
      </c>
      <c r="J428" s="6" t="b">
        <f>IF(AND(H428&lt;Config!$B$2,I428&lt;&gt;"Approved / IFI"),TRUE,FALSE)</f>
        <v>0</v>
      </c>
      <c r="K428" s="6" t="str">
        <f t="shared" si="6"/>
        <v>In Review</v>
      </c>
    </row>
    <row r="429" spans="1:11" x14ac:dyDescent="0.25">
      <c r="A429" s="6" t="s">
        <v>1026</v>
      </c>
      <c r="B429" s="6" t="s">
        <v>238</v>
      </c>
      <c r="C429" s="6" t="s">
        <v>550</v>
      </c>
      <c r="D429" s="6" t="s">
        <v>51</v>
      </c>
      <c r="E429" s="6" t="s">
        <v>294</v>
      </c>
      <c r="F429" s="6">
        <v>1</v>
      </c>
      <c r="G429" s="11">
        <v>46270.000009837961</v>
      </c>
      <c r="H429" s="11">
        <v>46307.000009837961</v>
      </c>
      <c r="I429" s="6" t="s">
        <v>91</v>
      </c>
      <c r="J429" s="6" t="b">
        <f>IF(AND(H429&lt;Config!$B$2,I429&lt;&gt;"Approved / IFI"),TRUE,FALSE)</f>
        <v>0</v>
      </c>
      <c r="K429" s="6" t="str">
        <f t="shared" si="6"/>
        <v>In Review</v>
      </c>
    </row>
    <row r="430" spans="1:11" x14ac:dyDescent="0.25">
      <c r="A430" s="6" t="s">
        <v>1027</v>
      </c>
      <c r="B430" s="6" t="s">
        <v>238</v>
      </c>
      <c r="C430" s="6" t="s">
        <v>498</v>
      </c>
      <c r="D430" s="6" t="s">
        <v>52</v>
      </c>
      <c r="E430" s="6" t="s">
        <v>302</v>
      </c>
      <c r="F430" s="6">
        <v>1</v>
      </c>
      <c r="G430" s="11">
        <v>46250.000009837961</v>
      </c>
      <c r="H430" s="11">
        <v>46279.000009837961</v>
      </c>
      <c r="I430" s="6" t="s">
        <v>90</v>
      </c>
      <c r="J430" s="6" t="b">
        <f>IF(AND(H430&lt;Config!$B$2,I430&lt;&gt;"Approved / IFI"),TRUE,FALSE)</f>
        <v>0</v>
      </c>
      <c r="K430" s="6" t="str">
        <f t="shared" si="6"/>
        <v>In Progress</v>
      </c>
    </row>
    <row r="431" spans="1:11" x14ac:dyDescent="0.25">
      <c r="A431" s="6" t="s">
        <v>1028</v>
      </c>
      <c r="B431" s="6" t="s">
        <v>238</v>
      </c>
      <c r="C431" s="6" t="s">
        <v>498</v>
      </c>
      <c r="D431" s="6" t="s">
        <v>52</v>
      </c>
      <c r="E431" s="6" t="s">
        <v>302</v>
      </c>
      <c r="F431" s="6">
        <v>1</v>
      </c>
      <c r="G431" s="11">
        <v>46256.000009837961</v>
      </c>
      <c r="H431" s="11">
        <v>46285.000009837961</v>
      </c>
      <c r="I431" s="6" t="s">
        <v>92</v>
      </c>
      <c r="J431" s="6" t="b">
        <f>IF(AND(H431&lt;Config!$B$2,I431&lt;&gt;"Approved / IFI"),TRUE,FALSE)</f>
        <v>0</v>
      </c>
      <c r="K431" s="6" t="str">
        <f t="shared" si="6"/>
        <v>In Review</v>
      </c>
    </row>
    <row r="432" spans="1:11" x14ac:dyDescent="0.25">
      <c r="A432" s="6" t="s">
        <v>1029</v>
      </c>
      <c r="B432" s="6" t="s">
        <v>238</v>
      </c>
      <c r="C432" s="6" t="s">
        <v>451</v>
      </c>
      <c r="D432" s="6" t="s">
        <v>51</v>
      </c>
      <c r="E432" s="6" t="s">
        <v>276</v>
      </c>
      <c r="F432" s="6">
        <v>0</v>
      </c>
      <c r="G432" s="11">
        <v>46273.000009837961</v>
      </c>
      <c r="H432" s="11">
        <v>46306.000009837961</v>
      </c>
      <c r="I432" s="6" t="s">
        <v>91</v>
      </c>
      <c r="J432" s="6" t="b">
        <f>IF(AND(H432&lt;Config!$B$2,I432&lt;&gt;"Approved / IFI"),TRUE,FALSE)</f>
        <v>0</v>
      </c>
      <c r="K432" s="6" t="str">
        <f t="shared" si="6"/>
        <v>In Review</v>
      </c>
    </row>
    <row r="433" spans="1:11" x14ac:dyDescent="0.25">
      <c r="A433" s="6" t="s">
        <v>1030</v>
      </c>
      <c r="B433" s="6" t="s">
        <v>238</v>
      </c>
      <c r="C433" s="6" t="s">
        <v>471</v>
      </c>
      <c r="D433" s="6" t="s">
        <v>51</v>
      </c>
      <c r="E433" s="6" t="s">
        <v>276</v>
      </c>
      <c r="F433" s="6">
        <v>0</v>
      </c>
      <c r="G433" s="11">
        <v>46285.000009837961</v>
      </c>
      <c r="H433" s="11">
        <v>46316.000009837961</v>
      </c>
      <c r="I433" s="6" t="s">
        <v>91</v>
      </c>
      <c r="J433" s="6" t="b">
        <f>IF(AND(H433&lt;Config!$B$2,I433&lt;&gt;"Approved / IFI"),TRUE,FALSE)</f>
        <v>0</v>
      </c>
      <c r="K433" s="6" t="str">
        <f t="shared" si="6"/>
        <v>In Review</v>
      </c>
    </row>
    <row r="434" spans="1:11" x14ac:dyDescent="0.25">
      <c r="A434" s="6" t="s">
        <v>1031</v>
      </c>
      <c r="B434" s="6" t="s">
        <v>238</v>
      </c>
      <c r="C434" s="6" t="s">
        <v>457</v>
      </c>
      <c r="D434" s="6" t="s">
        <v>52</v>
      </c>
      <c r="E434" s="6" t="s">
        <v>183</v>
      </c>
      <c r="F434" s="6">
        <v>2</v>
      </c>
      <c r="G434" s="11">
        <v>46226.000009837961</v>
      </c>
      <c r="H434" s="11">
        <v>46256.000009837961</v>
      </c>
      <c r="I434" s="6" t="s">
        <v>93</v>
      </c>
      <c r="J434" s="6" t="b">
        <f>IF(AND(H434&lt;Config!$B$2,I434&lt;&gt;"Approved / IFI"),TRUE,FALSE)</f>
        <v>0</v>
      </c>
      <c r="K434" s="6" t="str">
        <f t="shared" si="6"/>
        <v>Revise</v>
      </c>
    </row>
    <row r="435" spans="1:11" x14ac:dyDescent="0.25">
      <c r="A435" s="6" t="s">
        <v>1032</v>
      </c>
      <c r="B435" s="6" t="s">
        <v>238</v>
      </c>
      <c r="C435" s="6" t="s">
        <v>694</v>
      </c>
      <c r="D435" s="6" t="s">
        <v>50</v>
      </c>
      <c r="E435" s="6" t="s">
        <v>296</v>
      </c>
      <c r="F435" s="6">
        <v>0</v>
      </c>
      <c r="G435" s="11">
        <v>46304.000009837961</v>
      </c>
      <c r="H435" s="11">
        <v>46319.000009837961</v>
      </c>
      <c r="I435" s="6" t="s">
        <v>92</v>
      </c>
      <c r="J435" s="6" t="b">
        <f>IF(AND(H435&lt;Config!$B$2,I435&lt;&gt;"Approved / IFI"),TRUE,FALSE)</f>
        <v>0</v>
      </c>
      <c r="K435" s="6" t="str">
        <f t="shared" si="6"/>
        <v>In Review</v>
      </c>
    </row>
    <row r="436" spans="1:11" x14ac:dyDescent="0.25">
      <c r="A436" s="6" t="s">
        <v>1033</v>
      </c>
      <c r="B436" s="6" t="s">
        <v>241</v>
      </c>
      <c r="C436" s="6" t="s">
        <v>467</v>
      </c>
      <c r="D436" s="6" t="s">
        <v>53</v>
      </c>
      <c r="E436" s="6" t="s">
        <v>156</v>
      </c>
      <c r="F436" s="6">
        <v>0</v>
      </c>
      <c r="G436" s="11">
        <v>46159.000009837961</v>
      </c>
      <c r="H436" s="11">
        <v>46176.000009837961</v>
      </c>
      <c r="I436" s="6" t="s">
        <v>94</v>
      </c>
      <c r="J436" s="6" t="b">
        <f>IF(AND(H436&lt;Config!$B$2,I436&lt;&gt;"Approved / IFI"),TRUE,FALSE)</f>
        <v>0</v>
      </c>
      <c r="K436" s="6" t="str">
        <f t="shared" si="6"/>
        <v>Complete</v>
      </c>
    </row>
    <row r="437" spans="1:11" x14ac:dyDescent="0.25">
      <c r="A437" s="6" t="s">
        <v>1034</v>
      </c>
      <c r="B437" s="6" t="s">
        <v>241</v>
      </c>
      <c r="C437" s="6" t="s">
        <v>1035</v>
      </c>
      <c r="D437" s="6" t="s">
        <v>52</v>
      </c>
      <c r="E437" s="6" t="s">
        <v>302</v>
      </c>
      <c r="F437" s="6">
        <v>4</v>
      </c>
      <c r="G437" s="11">
        <v>46175.000009837961</v>
      </c>
      <c r="H437" s="11">
        <v>46193.000009837961</v>
      </c>
      <c r="I437" s="6" t="s">
        <v>94</v>
      </c>
      <c r="J437" s="6" t="b">
        <f>IF(AND(H437&lt;Config!$B$2,I437&lt;&gt;"Approved / IFI"),TRUE,FALSE)</f>
        <v>0</v>
      </c>
      <c r="K437" s="6" t="str">
        <f t="shared" si="6"/>
        <v>Complete</v>
      </c>
    </row>
    <row r="438" spans="1:11" x14ac:dyDescent="0.25">
      <c r="A438" s="6" t="s">
        <v>1036</v>
      </c>
      <c r="B438" s="6" t="s">
        <v>241</v>
      </c>
      <c r="C438" s="6" t="s">
        <v>684</v>
      </c>
      <c r="D438" s="6" t="s">
        <v>50</v>
      </c>
      <c r="E438" s="6" t="s">
        <v>156</v>
      </c>
      <c r="F438" s="6">
        <v>1</v>
      </c>
      <c r="G438" s="11">
        <v>46105.000009837961</v>
      </c>
      <c r="H438" s="11">
        <v>46140.000009837961</v>
      </c>
      <c r="I438" s="6" t="s">
        <v>94</v>
      </c>
      <c r="J438" s="6" t="b">
        <f>IF(AND(H438&lt;Config!$B$2,I438&lt;&gt;"Approved / IFI"),TRUE,FALSE)</f>
        <v>0</v>
      </c>
      <c r="K438" s="6" t="str">
        <f t="shared" si="6"/>
        <v>Complete</v>
      </c>
    </row>
    <row r="439" spans="1:11" x14ac:dyDescent="0.25">
      <c r="A439" s="6" t="s">
        <v>1037</v>
      </c>
      <c r="B439" s="6" t="s">
        <v>241</v>
      </c>
      <c r="C439" s="6" t="s">
        <v>1038</v>
      </c>
      <c r="D439" s="6" t="s">
        <v>51</v>
      </c>
      <c r="E439" s="6" t="s">
        <v>292</v>
      </c>
      <c r="F439" s="6">
        <v>4</v>
      </c>
      <c r="G439" s="11">
        <v>46158.000009837961</v>
      </c>
      <c r="H439" s="11">
        <v>46183.000009837961</v>
      </c>
      <c r="I439" s="6" t="s">
        <v>94</v>
      </c>
      <c r="J439" s="6" t="b">
        <f>IF(AND(H439&lt;Config!$B$2,I439&lt;&gt;"Approved / IFI"),TRUE,FALSE)</f>
        <v>0</v>
      </c>
      <c r="K439" s="6" t="str">
        <f t="shared" si="6"/>
        <v>Complete</v>
      </c>
    </row>
    <row r="440" spans="1:11" x14ac:dyDescent="0.25">
      <c r="A440" s="6" t="s">
        <v>1039</v>
      </c>
      <c r="B440" s="6" t="s">
        <v>241</v>
      </c>
      <c r="C440" s="6" t="s">
        <v>1035</v>
      </c>
      <c r="D440" s="6" t="s">
        <v>52</v>
      </c>
      <c r="E440" s="6" t="s">
        <v>183</v>
      </c>
      <c r="F440" s="6">
        <v>0</v>
      </c>
      <c r="G440" s="11">
        <v>46151.000009837961</v>
      </c>
      <c r="H440" s="11">
        <v>46178.000009837961</v>
      </c>
      <c r="I440" s="6" t="s">
        <v>94</v>
      </c>
      <c r="J440" s="6" t="b">
        <f>IF(AND(H440&lt;Config!$B$2,I440&lt;&gt;"Approved / IFI"),TRUE,FALSE)</f>
        <v>0</v>
      </c>
      <c r="K440" s="6" t="str">
        <f t="shared" si="6"/>
        <v>Complete</v>
      </c>
    </row>
    <row r="441" spans="1:11" x14ac:dyDescent="0.25">
      <c r="A441" s="6" t="s">
        <v>1040</v>
      </c>
      <c r="B441" s="6" t="s">
        <v>241</v>
      </c>
      <c r="C441" s="6" t="s">
        <v>569</v>
      </c>
      <c r="D441" s="6" t="s">
        <v>53</v>
      </c>
      <c r="E441" s="6" t="s">
        <v>287</v>
      </c>
      <c r="F441" s="6">
        <v>4</v>
      </c>
      <c r="G441" s="11">
        <v>46067.000009837961</v>
      </c>
      <c r="H441" s="11">
        <v>46105.000009837961</v>
      </c>
      <c r="I441" s="6" t="s">
        <v>94</v>
      </c>
      <c r="J441" s="6" t="b">
        <f>IF(AND(H441&lt;Config!$B$2,I441&lt;&gt;"Approved / IFI"),TRUE,FALSE)</f>
        <v>0</v>
      </c>
      <c r="K441" s="6" t="str">
        <f t="shared" si="6"/>
        <v>Complete</v>
      </c>
    </row>
    <row r="442" spans="1:11" x14ac:dyDescent="0.25">
      <c r="A442" s="6" t="s">
        <v>1041</v>
      </c>
      <c r="B442" s="6" t="s">
        <v>241</v>
      </c>
      <c r="C442" s="6" t="s">
        <v>451</v>
      </c>
      <c r="D442" s="6" t="s">
        <v>51</v>
      </c>
      <c r="E442" s="6" t="s">
        <v>274</v>
      </c>
      <c r="F442" s="6">
        <v>0</v>
      </c>
      <c r="G442" s="11">
        <v>46154.000009837961</v>
      </c>
      <c r="H442" s="11">
        <v>46192.000009837961</v>
      </c>
      <c r="I442" s="6" t="s">
        <v>94</v>
      </c>
      <c r="J442" s="6" t="b">
        <f>IF(AND(H442&lt;Config!$B$2,I442&lt;&gt;"Approved / IFI"),TRUE,FALSE)</f>
        <v>0</v>
      </c>
      <c r="K442" s="6" t="str">
        <f t="shared" si="6"/>
        <v>Complete</v>
      </c>
    </row>
    <row r="443" spans="1:11" x14ac:dyDescent="0.25">
      <c r="A443" s="6" t="s">
        <v>1042</v>
      </c>
      <c r="B443" s="6" t="s">
        <v>241</v>
      </c>
      <c r="C443" s="6" t="s">
        <v>1043</v>
      </c>
      <c r="D443" s="6" t="s">
        <v>50</v>
      </c>
      <c r="E443" s="6" t="s">
        <v>156</v>
      </c>
      <c r="F443" s="6">
        <v>2</v>
      </c>
      <c r="G443" s="11">
        <v>46145.000009837961</v>
      </c>
      <c r="H443" s="11">
        <v>46163.000009837961</v>
      </c>
      <c r="I443" s="6" t="s">
        <v>94</v>
      </c>
      <c r="J443" s="6" t="b">
        <f>IF(AND(H443&lt;Config!$B$2,I443&lt;&gt;"Approved / IFI"),TRUE,FALSE)</f>
        <v>0</v>
      </c>
      <c r="K443" s="6" t="str">
        <f t="shared" si="6"/>
        <v>Complete</v>
      </c>
    </row>
    <row r="444" spans="1:11" x14ac:dyDescent="0.25">
      <c r="A444" s="6" t="s">
        <v>1044</v>
      </c>
      <c r="B444" s="6" t="s">
        <v>241</v>
      </c>
      <c r="C444" s="6" t="s">
        <v>560</v>
      </c>
      <c r="D444" s="6" t="s">
        <v>53</v>
      </c>
      <c r="E444" s="6" t="s">
        <v>168</v>
      </c>
      <c r="F444" s="6">
        <v>2</v>
      </c>
      <c r="G444" s="11">
        <v>46187.000009837961</v>
      </c>
      <c r="H444" s="11">
        <v>46226.000009837961</v>
      </c>
      <c r="I444" s="6" t="s">
        <v>94</v>
      </c>
      <c r="J444" s="6" t="b">
        <f>IF(AND(H444&lt;Config!$B$2,I444&lt;&gt;"Approved / IFI"),TRUE,FALSE)</f>
        <v>0</v>
      </c>
      <c r="K444" s="6" t="str">
        <f t="shared" si="6"/>
        <v>Complete</v>
      </c>
    </row>
    <row r="445" spans="1:11" x14ac:dyDescent="0.25">
      <c r="A445" s="6" t="s">
        <v>1045</v>
      </c>
      <c r="B445" s="6" t="s">
        <v>241</v>
      </c>
      <c r="C445" s="6" t="s">
        <v>457</v>
      </c>
      <c r="D445" s="6" t="s">
        <v>52</v>
      </c>
      <c r="E445" s="6" t="s">
        <v>183</v>
      </c>
      <c r="F445" s="6">
        <v>4</v>
      </c>
      <c r="G445" s="11">
        <v>46094.000009837961</v>
      </c>
      <c r="H445" s="11">
        <v>46111.000009837961</v>
      </c>
      <c r="I445" s="6" t="s">
        <v>94</v>
      </c>
      <c r="J445" s="6" t="b">
        <f>IF(AND(H445&lt;Config!$B$2,I445&lt;&gt;"Approved / IFI"),TRUE,FALSE)</f>
        <v>0</v>
      </c>
      <c r="K445" s="6" t="str">
        <f t="shared" si="6"/>
        <v>Complete</v>
      </c>
    </row>
    <row r="446" spans="1:11" x14ac:dyDescent="0.25">
      <c r="A446" s="6" t="s">
        <v>1046</v>
      </c>
      <c r="B446" s="6" t="s">
        <v>241</v>
      </c>
      <c r="C446" s="6" t="s">
        <v>511</v>
      </c>
      <c r="D446" s="6" t="s">
        <v>54</v>
      </c>
      <c r="E446" s="6" t="s">
        <v>201</v>
      </c>
      <c r="F446" s="6">
        <v>2</v>
      </c>
      <c r="G446" s="11">
        <v>46184.000009837961</v>
      </c>
      <c r="H446" s="11">
        <v>46220.000009837961</v>
      </c>
      <c r="I446" s="6" t="s">
        <v>94</v>
      </c>
      <c r="J446" s="6" t="b">
        <f>IF(AND(H446&lt;Config!$B$2,I446&lt;&gt;"Approved / IFI"),TRUE,FALSE)</f>
        <v>0</v>
      </c>
      <c r="K446" s="6" t="str">
        <f t="shared" si="6"/>
        <v>Complete</v>
      </c>
    </row>
    <row r="447" spans="1:11" x14ac:dyDescent="0.25">
      <c r="A447" s="6" t="s">
        <v>1047</v>
      </c>
      <c r="B447" s="6" t="s">
        <v>241</v>
      </c>
      <c r="C447" s="6" t="s">
        <v>1048</v>
      </c>
      <c r="D447" s="6" t="s">
        <v>53</v>
      </c>
      <c r="E447" s="6" t="s">
        <v>168</v>
      </c>
      <c r="F447" s="6">
        <v>2</v>
      </c>
      <c r="G447" s="11">
        <v>46121.000009837961</v>
      </c>
      <c r="H447" s="11">
        <v>46140.000009837961</v>
      </c>
      <c r="I447" s="6" t="s">
        <v>94</v>
      </c>
      <c r="J447" s="6" t="b">
        <f>IF(AND(H447&lt;Config!$B$2,I447&lt;&gt;"Approved / IFI"),TRUE,FALSE)</f>
        <v>0</v>
      </c>
      <c r="K447" s="6" t="str">
        <f t="shared" si="6"/>
        <v>Complete</v>
      </c>
    </row>
    <row r="448" spans="1:11" x14ac:dyDescent="0.25">
      <c r="A448" s="6" t="s">
        <v>1049</v>
      </c>
      <c r="B448" s="6" t="s">
        <v>241</v>
      </c>
      <c r="C448" s="6" t="s">
        <v>1050</v>
      </c>
      <c r="D448" s="6" t="s">
        <v>50</v>
      </c>
      <c r="E448" s="6" t="s">
        <v>150</v>
      </c>
      <c r="F448" s="6">
        <v>1</v>
      </c>
      <c r="G448" s="11">
        <v>46181.000009837961</v>
      </c>
      <c r="H448" s="11">
        <v>46206.000009837961</v>
      </c>
      <c r="I448" s="6" t="s">
        <v>94</v>
      </c>
      <c r="J448" s="6" t="b">
        <f>IF(AND(H448&lt;Config!$B$2,I448&lt;&gt;"Approved / IFI"),TRUE,FALSE)</f>
        <v>0</v>
      </c>
      <c r="K448" s="6" t="str">
        <f t="shared" si="6"/>
        <v>Complete</v>
      </c>
    </row>
    <row r="449" spans="1:11" x14ac:dyDescent="0.25">
      <c r="A449" s="6" t="s">
        <v>1051</v>
      </c>
      <c r="B449" s="6" t="s">
        <v>241</v>
      </c>
      <c r="C449" s="6" t="s">
        <v>506</v>
      </c>
      <c r="D449" s="6" t="s">
        <v>50</v>
      </c>
      <c r="E449" s="6" t="s">
        <v>300</v>
      </c>
      <c r="F449" s="6">
        <v>4</v>
      </c>
      <c r="G449" s="11">
        <v>46171.000009837961</v>
      </c>
      <c r="H449" s="11">
        <v>46191.000009837961</v>
      </c>
      <c r="I449" s="6" t="s">
        <v>94</v>
      </c>
      <c r="J449" s="6" t="b">
        <f>IF(AND(H449&lt;Config!$B$2,I449&lt;&gt;"Approved / IFI"),TRUE,FALSE)</f>
        <v>0</v>
      </c>
      <c r="K449" s="6" t="str">
        <f t="shared" si="6"/>
        <v>Complete</v>
      </c>
    </row>
    <row r="450" spans="1:11" x14ac:dyDescent="0.25">
      <c r="A450" s="6" t="s">
        <v>1052</v>
      </c>
      <c r="B450" s="6" t="s">
        <v>241</v>
      </c>
      <c r="C450" s="6" t="s">
        <v>449</v>
      </c>
      <c r="D450" s="6" t="s">
        <v>51</v>
      </c>
      <c r="E450" s="6" t="s">
        <v>292</v>
      </c>
      <c r="F450" s="6">
        <v>4</v>
      </c>
      <c r="G450" s="11">
        <v>46106.000009837961</v>
      </c>
      <c r="H450" s="11">
        <v>46141.000009837961</v>
      </c>
      <c r="I450" s="6" t="s">
        <v>94</v>
      </c>
      <c r="J450" s="6" t="b">
        <f>IF(AND(H450&lt;Config!$B$2,I450&lt;&gt;"Approved / IFI"),TRUE,FALSE)</f>
        <v>0</v>
      </c>
      <c r="K450" s="6" t="str">
        <f t="shared" ref="K450:K513" si="7">IF(J450=TRUE,"Overdue",IF(I450="Approved / IFI","Complete",IF(I450="Internal Development","In Progress",IF(I450="Revise &amp; Resubmit","Revise","In Review"))))</f>
        <v>Complete</v>
      </c>
    </row>
    <row r="451" spans="1:11" x14ac:dyDescent="0.25">
      <c r="A451" s="6" t="s">
        <v>1053</v>
      </c>
      <c r="B451" s="6" t="s">
        <v>241</v>
      </c>
      <c r="C451" s="6" t="s">
        <v>602</v>
      </c>
      <c r="D451" s="6" t="s">
        <v>51</v>
      </c>
      <c r="E451" s="6" t="s">
        <v>292</v>
      </c>
      <c r="F451" s="6">
        <v>3</v>
      </c>
      <c r="G451" s="11">
        <v>46167.000009837961</v>
      </c>
      <c r="H451" s="11">
        <v>46187.000009837961</v>
      </c>
      <c r="I451" s="6" t="s">
        <v>94</v>
      </c>
      <c r="J451" s="6" t="b">
        <f>IF(AND(H451&lt;Config!$B$2,I451&lt;&gt;"Approved / IFI"),TRUE,FALSE)</f>
        <v>0</v>
      </c>
      <c r="K451" s="6" t="str">
        <f t="shared" si="7"/>
        <v>Complete</v>
      </c>
    </row>
    <row r="452" spans="1:11" x14ac:dyDescent="0.25">
      <c r="A452" s="6" t="s">
        <v>1054</v>
      </c>
      <c r="B452" s="6" t="s">
        <v>241</v>
      </c>
      <c r="C452" s="6" t="s">
        <v>531</v>
      </c>
      <c r="D452" s="6" t="s">
        <v>53</v>
      </c>
      <c r="E452" s="6" t="s">
        <v>289</v>
      </c>
      <c r="F452" s="6">
        <v>3</v>
      </c>
      <c r="G452" s="11">
        <v>46236.000009837961</v>
      </c>
      <c r="H452" s="11">
        <v>46268.000009837961</v>
      </c>
      <c r="I452" s="6" t="s">
        <v>91</v>
      </c>
      <c r="J452" s="6" t="b">
        <f>IF(AND(H452&lt;Config!$B$2,I452&lt;&gt;"Approved / IFI"),TRUE,FALSE)</f>
        <v>0</v>
      </c>
      <c r="K452" s="6" t="str">
        <f t="shared" si="7"/>
        <v>In Review</v>
      </c>
    </row>
    <row r="453" spans="1:11" x14ac:dyDescent="0.25">
      <c r="A453" s="6" t="s">
        <v>1055</v>
      </c>
      <c r="B453" s="6" t="s">
        <v>241</v>
      </c>
      <c r="C453" s="6" t="s">
        <v>696</v>
      </c>
      <c r="D453" s="6" t="s">
        <v>55</v>
      </c>
      <c r="E453" s="6" t="s">
        <v>193</v>
      </c>
      <c r="F453" s="6">
        <v>1</v>
      </c>
      <c r="G453" s="11">
        <v>46245.000009837961</v>
      </c>
      <c r="H453" s="11">
        <v>46267.000009837961</v>
      </c>
      <c r="I453" s="6" t="s">
        <v>91</v>
      </c>
      <c r="J453" s="6" t="b">
        <f>IF(AND(H453&lt;Config!$B$2,I453&lt;&gt;"Approved / IFI"),TRUE,FALSE)</f>
        <v>0</v>
      </c>
      <c r="K453" s="6" t="str">
        <f t="shared" si="7"/>
        <v>In Review</v>
      </c>
    </row>
    <row r="454" spans="1:11" x14ac:dyDescent="0.25">
      <c r="A454" s="6" t="s">
        <v>1056</v>
      </c>
      <c r="B454" s="6" t="s">
        <v>241</v>
      </c>
      <c r="C454" s="6" t="s">
        <v>696</v>
      </c>
      <c r="D454" s="6" t="s">
        <v>55</v>
      </c>
      <c r="E454" s="6" t="s">
        <v>310</v>
      </c>
      <c r="F454" s="6">
        <v>3</v>
      </c>
      <c r="G454" s="11">
        <v>46286.000009837961</v>
      </c>
      <c r="H454" s="11">
        <v>46307.000009837961</v>
      </c>
      <c r="I454" s="6" t="s">
        <v>91</v>
      </c>
      <c r="J454" s="6" t="b">
        <f>IF(AND(H454&lt;Config!$B$2,I454&lt;&gt;"Approved / IFI"),TRUE,FALSE)</f>
        <v>0</v>
      </c>
      <c r="K454" s="6" t="str">
        <f t="shared" si="7"/>
        <v>In Review</v>
      </c>
    </row>
    <row r="455" spans="1:11" x14ac:dyDescent="0.25">
      <c r="A455" s="6" t="s">
        <v>1057</v>
      </c>
      <c r="B455" s="6" t="s">
        <v>241</v>
      </c>
      <c r="C455" s="6" t="s">
        <v>562</v>
      </c>
      <c r="D455" s="6" t="s">
        <v>50</v>
      </c>
      <c r="E455" s="6" t="s">
        <v>150</v>
      </c>
      <c r="F455" s="6">
        <v>3</v>
      </c>
      <c r="G455" s="11">
        <v>46252.000009837961</v>
      </c>
      <c r="H455" s="11">
        <v>46269.000009837961</v>
      </c>
      <c r="I455" s="6" t="s">
        <v>93</v>
      </c>
      <c r="J455" s="6" t="b">
        <f>IF(AND(H455&lt;Config!$B$2,I455&lt;&gt;"Approved / IFI"),TRUE,FALSE)</f>
        <v>0</v>
      </c>
      <c r="K455" s="6" t="str">
        <f t="shared" si="7"/>
        <v>Revise</v>
      </c>
    </row>
    <row r="456" spans="1:11" x14ac:dyDescent="0.25">
      <c r="A456" s="6" t="s">
        <v>1058</v>
      </c>
      <c r="B456" s="6" t="s">
        <v>241</v>
      </c>
      <c r="C456" s="6" t="s">
        <v>457</v>
      </c>
      <c r="D456" s="6" t="s">
        <v>52</v>
      </c>
      <c r="E456" s="6" t="s">
        <v>304</v>
      </c>
      <c r="F456" s="6">
        <v>1</v>
      </c>
      <c r="G456" s="11">
        <v>46289.000009837961</v>
      </c>
      <c r="H456" s="11">
        <v>46312.000009837961</v>
      </c>
      <c r="I456" s="6" t="s">
        <v>93</v>
      </c>
      <c r="J456" s="6" t="b">
        <f>IF(AND(H456&lt;Config!$B$2,I456&lt;&gt;"Approved / IFI"),TRUE,FALSE)</f>
        <v>0</v>
      </c>
      <c r="K456" s="6" t="str">
        <f t="shared" si="7"/>
        <v>Revise</v>
      </c>
    </row>
    <row r="457" spans="1:11" x14ac:dyDescent="0.25">
      <c r="A457" s="6" t="s">
        <v>1059</v>
      </c>
      <c r="B457" s="6" t="s">
        <v>244</v>
      </c>
      <c r="C457" s="6" t="s">
        <v>1060</v>
      </c>
      <c r="D457" s="6" t="s">
        <v>54</v>
      </c>
      <c r="E457" s="6" t="s">
        <v>144</v>
      </c>
      <c r="F457" s="6">
        <v>2</v>
      </c>
      <c r="G457" s="11">
        <v>46041.000009837961</v>
      </c>
      <c r="H457" s="11">
        <v>46054.000009837961</v>
      </c>
      <c r="I457" s="6" t="s">
        <v>94</v>
      </c>
      <c r="J457" s="6" t="b">
        <f>IF(AND(H457&lt;Config!$B$2,I457&lt;&gt;"Approved / IFI"),TRUE,FALSE)</f>
        <v>0</v>
      </c>
      <c r="K457" s="6" t="str">
        <f t="shared" si="7"/>
        <v>Complete</v>
      </c>
    </row>
    <row r="458" spans="1:11" x14ac:dyDescent="0.25">
      <c r="A458" s="6" t="s">
        <v>1061</v>
      </c>
      <c r="B458" s="6" t="s">
        <v>244</v>
      </c>
      <c r="C458" s="6" t="s">
        <v>463</v>
      </c>
      <c r="D458" s="6" t="s">
        <v>54</v>
      </c>
      <c r="E458" s="6" t="s">
        <v>321</v>
      </c>
      <c r="F458" s="6">
        <v>0</v>
      </c>
      <c r="G458" s="11">
        <v>46139.000009837961</v>
      </c>
      <c r="H458" s="11">
        <v>46173.000009837961</v>
      </c>
      <c r="I458" s="6" t="s">
        <v>94</v>
      </c>
      <c r="J458" s="6" t="b">
        <f>IF(AND(H458&lt;Config!$B$2,I458&lt;&gt;"Approved / IFI"),TRUE,FALSE)</f>
        <v>0</v>
      </c>
      <c r="K458" s="6" t="str">
        <f t="shared" si="7"/>
        <v>Complete</v>
      </c>
    </row>
    <row r="459" spans="1:11" x14ac:dyDescent="0.25">
      <c r="A459" s="6" t="s">
        <v>1062</v>
      </c>
      <c r="B459" s="6" t="s">
        <v>244</v>
      </c>
      <c r="C459" s="6" t="s">
        <v>1063</v>
      </c>
      <c r="D459" s="6" t="s">
        <v>52</v>
      </c>
      <c r="E459" s="6" t="s">
        <v>183</v>
      </c>
      <c r="F459" s="6">
        <v>2</v>
      </c>
      <c r="G459" s="11">
        <v>46178.000009837961</v>
      </c>
      <c r="H459" s="11">
        <v>46192.000009837961</v>
      </c>
      <c r="I459" s="6" t="s">
        <v>94</v>
      </c>
      <c r="J459" s="6" t="b">
        <f>IF(AND(H459&lt;Config!$B$2,I459&lt;&gt;"Approved / IFI"),TRUE,FALSE)</f>
        <v>0</v>
      </c>
      <c r="K459" s="6" t="str">
        <f t="shared" si="7"/>
        <v>Complete</v>
      </c>
    </row>
    <row r="460" spans="1:11" x14ac:dyDescent="0.25">
      <c r="A460" s="6" t="s">
        <v>1064</v>
      </c>
      <c r="B460" s="6" t="s">
        <v>244</v>
      </c>
      <c r="C460" s="6" t="s">
        <v>694</v>
      </c>
      <c r="D460" s="6" t="s">
        <v>50</v>
      </c>
      <c r="E460" s="6" t="s">
        <v>298</v>
      </c>
      <c r="F460" s="6">
        <v>1</v>
      </c>
      <c r="G460" s="11">
        <v>46165.000009837961</v>
      </c>
      <c r="H460" s="11">
        <v>46187.000009837961</v>
      </c>
      <c r="I460" s="6" t="s">
        <v>94</v>
      </c>
      <c r="J460" s="6" t="b">
        <f>IF(AND(H460&lt;Config!$B$2,I460&lt;&gt;"Approved / IFI"),TRUE,FALSE)</f>
        <v>0</v>
      </c>
      <c r="K460" s="6" t="str">
        <f t="shared" si="7"/>
        <v>Complete</v>
      </c>
    </row>
    <row r="461" spans="1:11" x14ac:dyDescent="0.25">
      <c r="A461" s="6" t="s">
        <v>1065</v>
      </c>
      <c r="B461" s="6" t="s">
        <v>244</v>
      </c>
      <c r="C461" s="6" t="s">
        <v>550</v>
      </c>
      <c r="D461" s="6" t="s">
        <v>51</v>
      </c>
      <c r="E461" s="6" t="s">
        <v>294</v>
      </c>
      <c r="F461" s="6">
        <v>4</v>
      </c>
      <c r="G461" s="11">
        <v>46226.000009837961</v>
      </c>
      <c r="H461" s="11">
        <v>46243.000009837961</v>
      </c>
      <c r="I461" s="6" t="s">
        <v>94</v>
      </c>
      <c r="J461" s="6" t="b">
        <f>IF(AND(H461&lt;Config!$B$2,I461&lt;&gt;"Approved / IFI"),TRUE,FALSE)</f>
        <v>0</v>
      </c>
      <c r="K461" s="6" t="str">
        <f t="shared" si="7"/>
        <v>Complete</v>
      </c>
    </row>
    <row r="462" spans="1:11" x14ac:dyDescent="0.25">
      <c r="A462" s="6" t="s">
        <v>1066</v>
      </c>
      <c r="B462" s="6" t="s">
        <v>244</v>
      </c>
      <c r="C462" s="6" t="s">
        <v>1067</v>
      </c>
      <c r="D462" s="6" t="s">
        <v>52</v>
      </c>
      <c r="E462" s="6" t="s">
        <v>306</v>
      </c>
      <c r="F462" s="6">
        <v>2</v>
      </c>
      <c r="G462" s="11">
        <v>46109.000009837961</v>
      </c>
      <c r="H462" s="11">
        <v>46146.000009837961</v>
      </c>
      <c r="I462" s="6" t="s">
        <v>94</v>
      </c>
      <c r="J462" s="6" t="b">
        <f>IF(AND(H462&lt;Config!$B$2,I462&lt;&gt;"Approved / IFI"),TRUE,FALSE)</f>
        <v>0</v>
      </c>
      <c r="K462" s="6" t="str">
        <f t="shared" si="7"/>
        <v>Complete</v>
      </c>
    </row>
    <row r="463" spans="1:11" x14ac:dyDescent="0.25">
      <c r="A463" s="6" t="s">
        <v>1068</v>
      </c>
      <c r="B463" s="6" t="s">
        <v>244</v>
      </c>
      <c r="C463" s="6" t="s">
        <v>1069</v>
      </c>
      <c r="D463" s="6" t="s">
        <v>51</v>
      </c>
      <c r="E463" s="6" t="s">
        <v>162</v>
      </c>
      <c r="F463" s="6">
        <v>3</v>
      </c>
      <c r="G463" s="11">
        <v>46093.000009837961</v>
      </c>
      <c r="H463" s="11">
        <v>46131.000009837961</v>
      </c>
      <c r="I463" s="6" t="s">
        <v>94</v>
      </c>
      <c r="J463" s="6" t="b">
        <f>IF(AND(H463&lt;Config!$B$2,I463&lt;&gt;"Approved / IFI"),TRUE,FALSE)</f>
        <v>0</v>
      </c>
      <c r="K463" s="6" t="str">
        <f t="shared" si="7"/>
        <v>Complete</v>
      </c>
    </row>
    <row r="464" spans="1:11" x14ac:dyDescent="0.25">
      <c r="A464" s="6" t="s">
        <v>1070</v>
      </c>
      <c r="B464" s="6" t="s">
        <v>244</v>
      </c>
      <c r="C464" s="6" t="s">
        <v>451</v>
      </c>
      <c r="D464" s="6" t="s">
        <v>51</v>
      </c>
      <c r="E464" s="6" t="s">
        <v>276</v>
      </c>
      <c r="F464" s="6">
        <v>4</v>
      </c>
      <c r="G464" s="11">
        <v>46163.000009837961</v>
      </c>
      <c r="H464" s="11">
        <v>46192.000009837961</v>
      </c>
      <c r="I464" s="6" t="s">
        <v>94</v>
      </c>
      <c r="J464" s="6" t="b">
        <f>IF(AND(H464&lt;Config!$B$2,I464&lt;&gt;"Approved / IFI"),TRUE,FALSE)</f>
        <v>0</v>
      </c>
      <c r="K464" s="6" t="str">
        <f t="shared" si="7"/>
        <v>Complete</v>
      </c>
    </row>
    <row r="465" spans="1:11" x14ac:dyDescent="0.25">
      <c r="A465" s="6" t="s">
        <v>1071</v>
      </c>
      <c r="B465" s="6" t="s">
        <v>244</v>
      </c>
      <c r="C465" s="6" t="s">
        <v>1072</v>
      </c>
      <c r="D465" s="6" t="s">
        <v>55</v>
      </c>
      <c r="E465" s="6" t="s">
        <v>308</v>
      </c>
      <c r="F465" s="6">
        <v>0</v>
      </c>
      <c r="G465" s="11">
        <v>46196.000009837961</v>
      </c>
      <c r="H465" s="11">
        <v>46231.000009837961</v>
      </c>
      <c r="I465" s="6" t="s">
        <v>94</v>
      </c>
      <c r="J465" s="6" t="b">
        <f>IF(AND(H465&lt;Config!$B$2,I465&lt;&gt;"Approved / IFI"),TRUE,FALSE)</f>
        <v>0</v>
      </c>
      <c r="K465" s="6" t="str">
        <f t="shared" si="7"/>
        <v>Complete</v>
      </c>
    </row>
    <row r="466" spans="1:11" x14ac:dyDescent="0.25">
      <c r="A466" s="6" t="s">
        <v>1073</v>
      </c>
      <c r="B466" s="6" t="s">
        <v>244</v>
      </c>
      <c r="C466" s="6" t="s">
        <v>475</v>
      </c>
      <c r="D466" s="6" t="s">
        <v>52</v>
      </c>
      <c r="E466" s="6" t="s">
        <v>306</v>
      </c>
      <c r="F466" s="6">
        <v>4</v>
      </c>
      <c r="G466" s="11">
        <v>46208.000009837961</v>
      </c>
      <c r="H466" s="11">
        <v>46237.000009837961</v>
      </c>
      <c r="I466" s="6" t="s">
        <v>94</v>
      </c>
      <c r="J466" s="6" t="b">
        <f>IF(AND(H466&lt;Config!$B$2,I466&lt;&gt;"Approved / IFI"),TRUE,FALSE)</f>
        <v>0</v>
      </c>
      <c r="K466" s="6" t="str">
        <f t="shared" si="7"/>
        <v>Complete</v>
      </c>
    </row>
    <row r="467" spans="1:11" x14ac:dyDescent="0.25">
      <c r="A467" s="6" t="s">
        <v>1074</v>
      </c>
      <c r="B467" s="6" t="s">
        <v>244</v>
      </c>
      <c r="C467" s="6" t="s">
        <v>498</v>
      </c>
      <c r="D467" s="6" t="s">
        <v>52</v>
      </c>
      <c r="E467" s="6" t="s">
        <v>302</v>
      </c>
      <c r="F467" s="6">
        <v>3</v>
      </c>
      <c r="G467" s="11">
        <v>46191.000009837961</v>
      </c>
      <c r="H467" s="11">
        <v>46224.000009837961</v>
      </c>
      <c r="I467" s="6" t="s">
        <v>94</v>
      </c>
      <c r="J467" s="6" t="b">
        <f>IF(AND(H467&lt;Config!$B$2,I467&lt;&gt;"Approved / IFI"),TRUE,FALSE)</f>
        <v>0</v>
      </c>
      <c r="K467" s="6" t="str">
        <f t="shared" si="7"/>
        <v>Complete</v>
      </c>
    </row>
    <row r="468" spans="1:11" x14ac:dyDescent="0.25">
      <c r="A468" s="6" t="s">
        <v>1075</v>
      </c>
      <c r="B468" s="6" t="s">
        <v>244</v>
      </c>
      <c r="C468" s="6" t="s">
        <v>511</v>
      </c>
      <c r="D468" s="6" t="s">
        <v>54</v>
      </c>
      <c r="E468" s="6" t="s">
        <v>321</v>
      </c>
      <c r="F468" s="6">
        <v>2</v>
      </c>
      <c r="G468" s="11">
        <v>46189.000009837961</v>
      </c>
      <c r="H468" s="11">
        <v>46212.000009837961</v>
      </c>
      <c r="I468" s="6" t="s">
        <v>94</v>
      </c>
      <c r="J468" s="6" t="b">
        <f>IF(AND(H468&lt;Config!$B$2,I468&lt;&gt;"Approved / IFI"),TRUE,FALSE)</f>
        <v>0</v>
      </c>
      <c r="K468" s="6" t="str">
        <f t="shared" si="7"/>
        <v>Complete</v>
      </c>
    </row>
    <row r="469" spans="1:11" x14ac:dyDescent="0.25">
      <c r="A469" s="6" t="s">
        <v>1076</v>
      </c>
      <c r="B469" s="6" t="s">
        <v>244</v>
      </c>
      <c r="C469" s="6" t="s">
        <v>552</v>
      </c>
      <c r="D469" s="6" t="s">
        <v>56</v>
      </c>
      <c r="E469" s="6" t="s">
        <v>319</v>
      </c>
      <c r="F469" s="6">
        <v>3</v>
      </c>
      <c r="G469" s="11">
        <v>46143.000009837961</v>
      </c>
      <c r="H469" s="11">
        <v>46181.000009837961</v>
      </c>
      <c r="I469" s="6" t="s">
        <v>94</v>
      </c>
      <c r="J469" s="6" t="b">
        <f>IF(AND(H469&lt;Config!$B$2,I469&lt;&gt;"Approved / IFI"),TRUE,FALSE)</f>
        <v>0</v>
      </c>
      <c r="K469" s="6" t="str">
        <f t="shared" si="7"/>
        <v>Complete</v>
      </c>
    </row>
    <row r="470" spans="1:11" x14ac:dyDescent="0.25">
      <c r="A470" s="6" t="s">
        <v>1077</v>
      </c>
      <c r="B470" s="6" t="s">
        <v>244</v>
      </c>
      <c r="C470" s="6" t="s">
        <v>1078</v>
      </c>
      <c r="D470" s="6" t="s">
        <v>50</v>
      </c>
      <c r="E470" s="6" t="s">
        <v>298</v>
      </c>
      <c r="F470" s="6">
        <v>0</v>
      </c>
      <c r="G470" s="11">
        <v>46082.000009837961</v>
      </c>
      <c r="H470" s="11">
        <v>46112.000009837961</v>
      </c>
      <c r="I470" s="6" t="s">
        <v>94</v>
      </c>
      <c r="J470" s="6" t="b">
        <f>IF(AND(H470&lt;Config!$B$2,I470&lt;&gt;"Approved / IFI"),TRUE,FALSE)</f>
        <v>0</v>
      </c>
      <c r="K470" s="6" t="str">
        <f t="shared" si="7"/>
        <v>Complete</v>
      </c>
    </row>
    <row r="471" spans="1:11" x14ac:dyDescent="0.25">
      <c r="A471" s="6" t="s">
        <v>1079</v>
      </c>
      <c r="B471" s="6" t="s">
        <v>244</v>
      </c>
      <c r="C471" s="6" t="s">
        <v>565</v>
      </c>
      <c r="D471" s="6" t="s">
        <v>50</v>
      </c>
      <c r="E471" s="6" t="s">
        <v>298</v>
      </c>
      <c r="F471" s="6">
        <v>2</v>
      </c>
      <c r="G471" s="11">
        <v>46240.000009837961</v>
      </c>
      <c r="H471" s="11">
        <v>46260.000009837961</v>
      </c>
      <c r="I471" s="6" t="s">
        <v>93</v>
      </c>
      <c r="J471" s="6" t="b">
        <f>IF(AND(H471&lt;Config!$B$2,I471&lt;&gt;"Approved / IFI"),TRUE,FALSE)</f>
        <v>0</v>
      </c>
      <c r="K471" s="6" t="str">
        <f t="shared" si="7"/>
        <v>Revise</v>
      </c>
    </row>
    <row r="472" spans="1:11" x14ac:dyDescent="0.25">
      <c r="A472" s="6" t="s">
        <v>1080</v>
      </c>
      <c r="B472" s="6" t="s">
        <v>244</v>
      </c>
      <c r="C472" s="6" t="s">
        <v>457</v>
      </c>
      <c r="D472" s="6" t="s">
        <v>52</v>
      </c>
      <c r="E472" s="6" t="s">
        <v>304</v>
      </c>
      <c r="F472" s="6">
        <v>1</v>
      </c>
      <c r="G472" s="11">
        <v>46266.000009837961</v>
      </c>
      <c r="H472" s="11">
        <v>46300.000009837961</v>
      </c>
      <c r="I472" s="6" t="s">
        <v>93</v>
      </c>
      <c r="J472" s="6" t="b">
        <f>IF(AND(H472&lt;Config!$B$2,I472&lt;&gt;"Approved / IFI"),TRUE,FALSE)</f>
        <v>0</v>
      </c>
      <c r="K472" s="6" t="str">
        <f t="shared" si="7"/>
        <v>Revise</v>
      </c>
    </row>
    <row r="473" spans="1:11" x14ac:dyDescent="0.25">
      <c r="A473" s="6" t="s">
        <v>1081</v>
      </c>
      <c r="B473" s="6" t="s">
        <v>244</v>
      </c>
      <c r="C473" s="6" t="s">
        <v>480</v>
      </c>
      <c r="D473" s="6" t="s">
        <v>56</v>
      </c>
      <c r="E473" s="6" t="s">
        <v>319</v>
      </c>
      <c r="F473" s="6">
        <v>1</v>
      </c>
      <c r="G473" s="11">
        <v>46247.000009837961</v>
      </c>
      <c r="H473" s="11">
        <v>46287.000009837961</v>
      </c>
      <c r="I473" s="6" t="s">
        <v>91</v>
      </c>
      <c r="J473" s="6" t="b">
        <f>IF(AND(H473&lt;Config!$B$2,I473&lt;&gt;"Approved / IFI"),TRUE,FALSE)</f>
        <v>0</v>
      </c>
      <c r="K473" s="6" t="str">
        <f t="shared" si="7"/>
        <v>In Review</v>
      </c>
    </row>
    <row r="474" spans="1:11" x14ac:dyDescent="0.25">
      <c r="A474" s="6" t="s">
        <v>1082</v>
      </c>
      <c r="B474" s="6" t="s">
        <v>247</v>
      </c>
      <c r="C474" s="6" t="s">
        <v>449</v>
      </c>
      <c r="D474" s="6" t="s">
        <v>51</v>
      </c>
      <c r="E474" s="6" t="s">
        <v>276</v>
      </c>
      <c r="F474" s="6">
        <v>3</v>
      </c>
      <c r="G474" s="11">
        <v>46093.000009837961</v>
      </c>
      <c r="H474" s="11">
        <v>46108.000009837961</v>
      </c>
      <c r="I474" s="6" t="s">
        <v>94</v>
      </c>
      <c r="J474" s="6" t="b">
        <f>IF(AND(H474&lt;Config!$B$2,I474&lt;&gt;"Approved / IFI"),TRUE,FALSE)</f>
        <v>0</v>
      </c>
      <c r="K474" s="6" t="str">
        <f t="shared" si="7"/>
        <v>Complete</v>
      </c>
    </row>
    <row r="475" spans="1:11" x14ac:dyDescent="0.25">
      <c r="A475" s="6" t="s">
        <v>1083</v>
      </c>
      <c r="B475" s="6" t="s">
        <v>247</v>
      </c>
      <c r="C475" s="6" t="s">
        <v>590</v>
      </c>
      <c r="D475" s="6" t="s">
        <v>54</v>
      </c>
      <c r="E475" s="6" t="s">
        <v>144</v>
      </c>
      <c r="F475" s="6">
        <v>2</v>
      </c>
      <c r="G475" s="11">
        <v>46030.000009837961</v>
      </c>
      <c r="H475" s="11">
        <v>46051.000009837961</v>
      </c>
      <c r="I475" s="6" t="s">
        <v>94</v>
      </c>
      <c r="J475" s="6" t="b">
        <f>IF(AND(H475&lt;Config!$B$2,I475&lt;&gt;"Approved / IFI"),TRUE,FALSE)</f>
        <v>0</v>
      </c>
      <c r="K475" s="6" t="str">
        <f t="shared" si="7"/>
        <v>Complete</v>
      </c>
    </row>
    <row r="476" spans="1:11" x14ac:dyDescent="0.25">
      <c r="A476" s="6" t="s">
        <v>1084</v>
      </c>
      <c r="B476" s="6" t="s">
        <v>247</v>
      </c>
      <c r="C476" s="6" t="s">
        <v>678</v>
      </c>
      <c r="D476" s="6" t="s">
        <v>50</v>
      </c>
      <c r="E476" s="6" t="s">
        <v>137</v>
      </c>
      <c r="F476" s="6">
        <v>0</v>
      </c>
      <c r="G476" s="11">
        <v>46140.000009837961</v>
      </c>
      <c r="H476" s="11">
        <v>46153.000009837961</v>
      </c>
      <c r="I476" s="6" t="s">
        <v>94</v>
      </c>
      <c r="J476" s="6" t="b">
        <f>IF(AND(H476&lt;Config!$B$2,I476&lt;&gt;"Approved / IFI"),TRUE,FALSE)</f>
        <v>0</v>
      </c>
      <c r="K476" s="6" t="str">
        <f t="shared" si="7"/>
        <v>Complete</v>
      </c>
    </row>
    <row r="477" spans="1:11" x14ac:dyDescent="0.25">
      <c r="A477" s="6" t="s">
        <v>1085</v>
      </c>
      <c r="B477" s="6" t="s">
        <v>247</v>
      </c>
      <c r="C477" s="6" t="s">
        <v>453</v>
      </c>
      <c r="D477" s="6" t="s">
        <v>52</v>
      </c>
      <c r="E477" s="6" t="s">
        <v>306</v>
      </c>
      <c r="F477" s="6">
        <v>0</v>
      </c>
      <c r="G477" s="11">
        <v>46061.000009837961</v>
      </c>
      <c r="H477" s="11">
        <v>46079.000009837961</v>
      </c>
      <c r="I477" s="6" t="s">
        <v>94</v>
      </c>
      <c r="J477" s="6" t="b">
        <f>IF(AND(H477&lt;Config!$B$2,I477&lt;&gt;"Approved / IFI"),TRUE,FALSE)</f>
        <v>0</v>
      </c>
      <c r="K477" s="6" t="str">
        <f t="shared" si="7"/>
        <v>Complete</v>
      </c>
    </row>
    <row r="478" spans="1:11" x14ac:dyDescent="0.25">
      <c r="A478" s="6" t="s">
        <v>1086</v>
      </c>
      <c r="B478" s="6" t="s">
        <v>247</v>
      </c>
      <c r="C478" s="6" t="s">
        <v>1087</v>
      </c>
      <c r="D478" s="6" t="s">
        <v>51</v>
      </c>
      <c r="E478" s="6" t="s">
        <v>162</v>
      </c>
      <c r="F478" s="6">
        <v>0</v>
      </c>
      <c r="G478" s="11">
        <v>46142.000009837961</v>
      </c>
      <c r="H478" s="11">
        <v>46164.000009837961</v>
      </c>
      <c r="I478" s="6" t="s">
        <v>94</v>
      </c>
      <c r="J478" s="6" t="b">
        <f>IF(AND(H478&lt;Config!$B$2,I478&lt;&gt;"Approved / IFI"),TRUE,FALSE)</f>
        <v>0</v>
      </c>
      <c r="K478" s="6" t="str">
        <f t="shared" si="7"/>
        <v>Complete</v>
      </c>
    </row>
    <row r="479" spans="1:11" x14ac:dyDescent="0.25">
      <c r="A479" s="6" t="s">
        <v>1088</v>
      </c>
      <c r="B479" s="6" t="s">
        <v>247</v>
      </c>
      <c r="C479" s="6" t="s">
        <v>517</v>
      </c>
      <c r="D479" s="6" t="s">
        <v>51</v>
      </c>
      <c r="E479" s="6" t="s">
        <v>162</v>
      </c>
      <c r="F479" s="6">
        <v>0</v>
      </c>
      <c r="G479" s="11">
        <v>46026.000009837961</v>
      </c>
      <c r="H479" s="11">
        <v>46052.000009837961</v>
      </c>
      <c r="I479" s="6" t="s">
        <v>94</v>
      </c>
      <c r="J479" s="6" t="b">
        <f>IF(AND(H479&lt;Config!$B$2,I479&lt;&gt;"Approved / IFI"),TRUE,FALSE)</f>
        <v>0</v>
      </c>
      <c r="K479" s="6" t="str">
        <f t="shared" si="7"/>
        <v>Complete</v>
      </c>
    </row>
    <row r="480" spans="1:11" x14ac:dyDescent="0.25">
      <c r="A480" s="6" t="s">
        <v>1089</v>
      </c>
      <c r="B480" s="6" t="s">
        <v>247</v>
      </c>
      <c r="C480" s="6" t="s">
        <v>502</v>
      </c>
      <c r="D480" s="6" t="s">
        <v>50</v>
      </c>
      <c r="E480" s="6" t="s">
        <v>156</v>
      </c>
      <c r="F480" s="6">
        <v>2</v>
      </c>
      <c r="G480" s="11">
        <v>46085.000009837961</v>
      </c>
      <c r="H480" s="11">
        <v>46102.000009837961</v>
      </c>
      <c r="I480" s="6" t="s">
        <v>94</v>
      </c>
      <c r="J480" s="6" t="b">
        <f>IF(AND(H480&lt;Config!$B$2,I480&lt;&gt;"Approved / IFI"),TRUE,FALSE)</f>
        <v>0</v>
      </c>
      <c r="K480" s="6" t="str">
        <f t="shared" si="7"/>
        <v>Complete</v>
      </c>
    </row>
    <row r="481" spans="1:11" x14ac:dyDescent="0.25">
      <c r="A481" s="6" t="s">
        <v>1090</v>
      </c>
      <c r="B481" s="6" t="s">
        <v>247</v>
      </c>
      <c r="C481" s="6" t="s">
        <v>1091</v>
      </c>
      <c r="D481" s="6" t="s">
        <v>56</v>
      </c>
      <c r="E481" s="6" t="s">
        <v>317</v>
      </c>
      <c r="F481" s="6">
        <v>2</v>
      </c>
      <c r="G481" s="11">
        <v>46134.000009837961</v>
      </c>
      <c r="H481" s="11">
        <v>46151.000009837961</v>
      </c>
      <c r="I481" s="6" t="s">
        <v>94</v>
      </c>
      <c r="J481" s="6" t="b">
        <f>IF(AND(H481&lt;Config!$B$2,I481&lt;&gt;"Approved / IFI"),TRUE,FALSE)</f>
        <v>0</v>
      </c>
      <c r="K481" s="6" t="str">
        <f t="shared" si="7"/>
        <v>Complete</v>
      </c>
    </row>
    <row r="482" spans="1:11" x14ac:dyDescent="0.25">
      <c r="A482" s="6" t="s">
        <v>1092</v>
      </c>
      <c r="B482" s="6" t="s">
        <v>247</v>
      </c>
      <c r="C482" s="6" t="s">
        <v>511</v>
      </c>
      <c r="D482" s="6" t="s">
        <v>54</v>
      </c>
      <c r="E482" s="6" t="s">
        <v>201</v>
      </c>
      <c r="F482" s="6">
        <v>0</v>
      </c>
      <c r="G482" s="11">
        <v>46142.000009837961</v>
      </c>
      <c r="H482" s="11">
        <v>46153.000009837961</v>
      </c>
      <c r="I482" s="6" t="s">
        <v>94</v>
      </c>
      <c r="J482" s="6" t="b">
        <f>IF(AND(H482&lt;Config!$B$2,I482&lt;&gt;"Approved / IFI"),TRUE,FALSE)</f>
        <v>0</v>
      </c>
      <c r="K482" s="6" t="str">
        <f t="shared" si="7"/>
        <v>Complete</v>
      </c>
    </row>
    <row r="483" spans="1:11" x14ac:dyDescent="0.25">
      <c r="A483" s="6" t="s">
        <v>1093</v>
      </c>
      <c r="B483" s="6" t="s">
        <v>247</v>
      </c>
      <c r="C483" s="6" t="s">
        <v>449</v>
      </c>
      <c r="D483" s="6" t="s">
        <v>51</v>
      </c>
      <c r="E483" s="6" t="s">
        <v>162</v>
      </c>
      <c r="F483" s="6">
        <v>1</v>
      </c>
      <c r="G483" s="11">
        <v>46053.000009837961</v>
      </c>
      <c r="H483" s="11">
        <v>46067.000009837961</v>
      </c>
      <c r="I483" s="6" t="s">
        <v>94</v>
      </c>
      <c r="J483" s="6" t="b">
        <f>IF(AND(H483&lt;Config!$B$2,I483&lt;&gt;"Approved / IFI"),TRUE,FALSE)</f>
        <v>0</v>
      </c>
      <c r="K483" s="6" t="str">
        <f t="shared" si="7"/>
        <v>Complete</v>
      </c>
    </row>
    <row r="484" spans="1:11" x14ac:dyDescent="0.25">
      <c r="A484" s="6" t="s">
        <v>1094</v>
      </c>
      <c r="B484" s="6" t="s">
        <v>247</v>
      </c>
      <c r="C484" s="6" t="s">
        <v>1095</v>
      </c>
      <c r="D484" s="6" t="s">
        <v>51</v>
      </c>
      <c r="E484" s="6" t="s">
        <v>162</v>
      </c>
      <c r="F484" s="6">
        <v>4</v>
      </c>
      <c r="G484" s="11">
        <v>46193.000009837961</v>
      </c>
      <c r="H484" s="11">
        <v>46224.000009837961</v>
      </c>
      <c r="I484" s="6" t="s">
        <v>94</v>
      </c>
      <c r="J484" s="6" t="b">
        <f>IF(AND(H484&lt;Config!$B$2,I484&lt;&gt;"Approved / IFI"),TRUE,FALSE)</f>
        <v>0</v>
      </c>
      <c r="K484" s="6" t="str">
        <f t="shared" si="7"/>
        <v>Complete</v>
      </c>
    </row>
    <row r="485" spans="1:11" x14ac:dyDescent="0.25">
      <c r="A485" s="6" t="s">
        <v>1096</v>
      </c>
      <c r="B485" s="6" t="s">
        <v>247</v>
      </c>
      <c r="C485" s="6" t="s">
        <v>1097</v>
      </c>
      <c r="D485" s="6" t="s">
        <v>56</v>
      </c>
      <c r="E485" s="6" t="s">
        <v>317</v>
      </c>
      <c r="F485" s="6">
        <v>4</v>
      </c>
      <c r="G485" s="11">
        <v>46033.000009837961</v>
      </c>
      <c r="H485" s="11">
        <v>46070.000009837961</v>
      </c>
      <c r="I485" s="6" t="s">
        <v>94</v>
      </c>
      <c r="J485" s="6" t="b">
        <f>IF(AND(H485&lt;Config!$B$2,I485&lt;&gt;"Approved / IFI"),TRUE,FALSE)</f>
        <v>0</v>
      </c>
      <c r="K485" s="6" t="str">
        <f t="shared" si="7"/>
        <v>Complete</v>
      </c>
    </row>
    <row r="486" spans="1:11" x14ac:dyDescent="0.25">
      <c r="A486" s="6" t="s">
        <v>1098</v>
      </c>
      <c r="B486" s="6" t="s">
        <v>247</v>
      </c>
      <c r="C486" s="6" t="s">
        <v>471</v>
      </c>
      <c r="D486" s="6" t="s">
        <v>51</v>
      </c>
      <c r="E486" s="6" t="s">
        <v>162</v>
      </c>
      <c r="F486" s="6">
        <v>0</v>
      </c>
      <c r="G486" s="11">
        <v>46117.000009837961</v>
      </c>
      <c r="H486" s="11">
        <v>46135.000009837961</v>
      </c>
      <c r="I486" s="6" t="s">
        <v>94</v>
      </c>
      <c r="J486" s="6" t="b">
        <f>IF(AND(H486&lt;Config!$B$2,I486&lt;&gt;"Approved / IFI"),TRUE,FALSE)</f>
        <v>0</v>
      </c>
      <c r="K486" s="6" t="str">
        <f t="shared" si="7"/>
        <v>Complete</v>
      </c>
    </row>
    <row r="487" spans="1:11" x14ac:dyDescent="0.25">
      <c r="A487" s="6" t="s">
        <v>1099</v>
      </c>
      <c r="B487" s="6" t="s">
        <v>247</v>
      </c>
      <c r="C487" s="6" t="s">
        <v>457</v>
      </c>
      <c r="D487" s="6" t="s">
        <v>52</v>
      </c>
      <c r="E487" s="6" t="s">
        <v>306</v>
      </c>
      <c r="F487" s="6">
        <v>1</v>
      </c>
      <c r="G487" s="11">
        <v>46091.000009837961</v>
      </c>
      <c r="H487" s="11">
        <v>46121.000009837961</v>
      </c>
      <c r="I487" s="6" t="s">
        <v>94</v>
      </c>
      <c r="J487" s="6" t="b">
        <f>IF(AND(H487&lt;Config!$B$2,I487&lt;&gt;"Approved / IFI"),TRUE,FALSE)</f>
        <v>0</v>
      </c>
      <c r="K487" s="6" t="str">
        <f t="shared" si="7"/>
        <v>Complete</v>
      </c>
    </row>
    <row r="488" spans="1:11" x14ac:dyDescent="0.25">
      <c r="A488" s="6" t="s">
        <v>1100</v>
      </c>
      <c r="B488" s="6" t="s">
        <v>247</v>
      </c>
      <c r="C488" s="6" t="s">
        <v>1101</v>
      </c>
      <c r="D488" s="6" t="s">
        <v>53</v>
      </c>
      <c r="E488" s="6" t="s">
        <v>168</v>
      </c>
      <c r="F488" s="6">
        <v>2</v>
      </c>
      <c r="G488" s="11">
        <v>46055.000009837961</v>
      </c>
      <c r="H488" s="11">
        <v>46074.000009837961</v>
      </c>
      <c r="I488" s="6" t="s">
        <v>94</v>
      </c>
      <c r="J488" s="6" t="b">
        <f>IF(AND(H488&lt;Config!$B$2,I488&lt;&gt;"Approved / IFI"),TRUE,FALSE)</f>
        <v>0</v>
      </c>
      <c r="K488" s="6" t="str">
        <f t="shared" si="7"/>
        <v>Complete</v>
      </c>
    </row>
    <row r="489" spans="1:11" x14ac:dyDescent="0.25">
      <c r="A489" s="6" t="s">
        <v>1102</v>
      </c>
      <c r="B489" s="6" t="s">
        <v>247</v>
      </c>
      <c r="C489" s="6" t="s">
        <v>646</v>
      </c>
      <c r="D489" s="6" t="s">
        <v>55</v>
      </c>
      <c r="E489" s="6" t="s">
        <v>308</v>
      </c>
      <c r="F489" s="6">
        <v>1</v>
      </c>
      <c r="G489" s="11">
        <v>46205.000009837961</v>
      </c>
      <c r="H489" s="11">
        <v>46219.000009837961</v>
      </c>
      <c r="I489" s="6" t="s">
        <v>94</v>
      </c>
      <c r="J489" s="6" t="b">
        <f>IF(AND(H489&lt;Config!$B$2,I489&lt;&gt;"Approved / IFI"),TRUE,FALSE)</f>
        <v>0</v>
      </c>
      <c r="K489" s="6" t="str">
        <f t="shared" si="7"/>
        <v>Complete</v>
      </c>
    </row>
    <row r="490" spans="1:11" x14ac:dyDescent="0.25">
      <c r="A490" s="6" t="s">
        <v>1103</v>
      </c>
      <c r="B490" s="6" t="s">
        <v>247</v>
      </c>
      <c r="C490" s="6" t="s">
        <v>504</v>
      </c>
      <c r="D490" s="6" t="s">
        <v>50</v>
      </c>
      <c r="E490" s="6" t="s">
        <v>296</v>
      </c>
      <c r="F490" s="6">
        <v>1</v>
      </c>
      <c r="G490" s="11">
        <v>46162.000009837961</v>
      </c>
      <c r="H490" s="11">
        <v>46182.000009837961</v>
      </c>
      <c r="I490" s="6" t="s">
        <v>94</v>
      </c>
      <c r="J490" s="6" t="b">
        <f>IF(AND(H490&lt;Config!$B$2,I490&lt;&gt;"Approved / IFI"),TRUE,FALSE)</f>
        <v>0</v>
      </c>
      <c r="K490" s="6" t="str">
        <f t="shared" si="7"/>
        <v>Complete</v>
      </c>
    </row>
    <row r="491" spans="1:11" x14ac:dyDescent="0.25">
      <c r="A491" s="6" t="s">
        <v>1104</v>
      </c>
      <c r="B491" s="6" t="s">
        <v>250</v>
      </c>
      <c r="C491" s="6" t="s">
        <v>511</v>
      </c>
      <c r="D491" s="6" t="s">
        <v>54</v>
      </c>
      <c r="E491" s="6" t="s">
        <v>321</v>
      </c>
      <c r="F491" s="6">
        <v>0</v>
      </c>
      <c r="G491" s="11">
        <v>46091.000009837961</v>
      </c>
      <c r="H491" s="11">
        <v>46115.000009837961</v>
      </c>
      <c r="I491" s="6" t="s">
        <v>94</v>
      </c>
      <c r="J491" s="6" t="b">
        <f>IF(AND(H491&lt;Config!$B$2,I491&lt;&gt;"Approved / IFI"),TRUE,FALSE)</f>
        <v>0</v>
      </c>
      <c r="K491" s="6" t="str">
        <f t="shared" si="7"/>
        <v>Complete</v>
      </c>
    </row>
    <row r="492" spans="1:11" x14ac:dyDescent="0.25">
      <c r="A492" s="6" t="s">
        <v>1105</v>
      </c>
      <c r="B492" s="6" t="s">
        <v>250</v>
      </c>
      <c r="C492" s="6" t="s">
        <v>453</v>
      </c>
      <c r="D492" s="6" t="s">
        <v>52</v>
      </c>
      <c r="E492" s="6" t="s">
        <v>302</v>
      </c>
      <c r="F492" s="6">
        <v>4</v>
      </c>
      <c r="G492" s="11">
        <v>46119.000009837961</v>
      </c>
      <c r="H492" s="11">
        <v>46156.000009837961</v>
      </c>
      <c r="I492" s="6" t="s">
        <v>94</v>
      </c>
      <c r="J492" s="6" t="b">
        <f>IF(AND(H492&lt;Config!$B$2,I492&lt;&gt;"Approved / IFI"),TRUE,FALSE)</f>
        <v>0</v>
      </c>
      <c r="K492" s="6" t="str">
        <f t="shared" si="7"/>
        <v>Complete</v>
      </c>
    </row>
    <row r="493" spans="1:11" x14ac:dyDescent="0.25">
      <c r="A493" s="6" t="s">
        <v>1106</v>
      </c>
      <c r="B493" s="6" t="s">
        <v>250</v>
      </c>
      <c r="C493" s="6" t="s">
        <v>569</v>
      </c>
      <c r="D493" s="6" t="s">
        <v>53</v>
      </c>
      <c r="E493" s="6" t="s">
        <v>287</v>
      </c>
      <c r="F493" s="6">
        <v>2</v>
      </c>
      <c r="G493" s="11">
        <v>46148.000009837961</v>
      </c>
      <c r="H493" s="11">
        <v>46168.000009837961</v>
      </c>
      <c r="I493" s="6" t="s">
        <v>94</v>
      </c>
      <c r="J493" s="6" t="b">
        <f>IF(AND(H493&lt;Config!$B$2,I493&lt;&gt;"Approved / IFI"),TRUE,FALSE)</f>
        <v>0</v>
      </c>
      <c r="K493" s="6" t="str">
        <f t="shared" si="7"/>
        <v>Complete</v>
      </c>
    </row>
    <row r="494" spans="1:11" x14ac:dyDescent="0.25">
      <c r="A494" s="6" t="s">
        <v>1107</v>
      </c>
      <c r="B494" s="6" t="s">
        <v>250</v>
      </c>
      <c r="C494" s="6" t="s">
        <v>529</v>
      </c>
      <c r="D494" s="6" t="s">
        <v>51</v>
      </c>
      <c r="E494" s="6" t="s">
        <v>292</v>
      </c>
      <c r="F494" s="6">
        <v>0</v>
      </c>
      <c r="G494" s="11">
        <v>46161.000009837961</v>
      </c>
      <c r="H494" s="11">
        <v>46175.000009837961</v>
      </c>
      <c r="I494" s="6" t="s">
        <v>94</v>
      </c>
      <c r="J494" s="6" t="b">
        <f>IF(AND(H494&lt;Config!$B$2,I494&lt;&gt;"Approved / IFI"),TRUE,FALSE)</f>
        <v>0</v>
      </c>
      <c r="K494" s="6" t="str">
        <f t="shared" si="7"/>
        <v>Complete</v>
      </c>
    </row>
    <row r="495" spans="1:11" x14ac:dyDescent="0.25">
      <c r="A495" s="6" t="s">
        <v>1108</v>
      </c>
      <c r="B495" s="6" t="s">
        <v>250</v>
      </c>
      <c r="C495" s="6" t="s">
        <v>533</v>
      </c>
      <c r="D495" s="6" t="s">
        <v>55</v>
      </c>
      <c r="E495" s="6" t="s">
        <v>193</v>
      </c>
      <c r="F495" s="6">
        <v>2</v>
      </c>
      <c r="G495" s="11">
        <v>46191.000009837961</v>
      </c>
      <c r="H495" s="11">
        <v>46215.000009837961</v>
      </c>
      <c r="I495" s="6" t="s">
        <v>94</v>
      </c>
      <c r="J495" s="6" t="b">
        <f>IF(AND(H495&lt;Config!$B$2,I495&lt;&gt;"Approved / IFI"),TRUE,FALSE)</f>
        <v>0</v>
      </c>
      <c r="K495" s="6" t="str">
        <f t="shared" si="7"/>
        <v>Complete</v>
      </c>
    </row>
    <row r="496" spans="1:11" x14ac:dyDescent="0.25">
      <c r="A496" s="6" t="s">
        <v>1109</v>
      </c>
      <c r="B496" s="6" t="s">
        <v>250</v>
      </c>
      <c r="C496" s="6" t="s">
        <v>1110</v>
      </c>
      <c r="D496" s="6" t="s">
        <v>54</v>
      </c>
      <c r="E496" s="6" t="s">
        <v>201</v>
      </c>
      <c r="F496" s="6">
        <v>3</v>
      </c>
      <c r="G496" s="11">
        <v>46128.000009837961</v>
      </c>
      <c r="H496" s="11">
        <v>46164.000009837961</v>
      </c>
      <c r="I496" s="6" t="s">
        <v>94</v>
      </c>
      <c r="J496" s="6" t="b">
        <f>IF(AND(H496&lt;Config!$B$2,I496&lt;&gt;"Approved / IFI"),TRUE,FALSE)</f>
        <v>0</v>
      </c>
      <c r="K496" s="6" t="str">
        <f t="shared" si="7"/>
        <v>Complete</v>
      </c>
    </row>
    <row r="497" spans="1:11" x14ac:dyDescent="0.25">
      <c r="A497" s="6" t="s">
        <v>1111</v>
      </c>
      <c r="B497" s="6" t="s">
        <v>250</v>
      </c>
      <c r="C497" s="6" t="s">
        <v>531</v>
      </c>
      <c r="D497" s="6" t="s">
        <v>53</v>
      </c>
      <c r="E497" s="6" t="s">
        <v>168</v>
      </c>
      <c r="F497" s="6">
        <v>3</v>
      </c>
      <c r="G497" s="11">
        <v>46047.000009837961</v>
      </c>
      <c r="H497" s="11">
        <v>46062.000009837961</v>
      </c>
      <c r="I497" s="6" t="s">
        <v>94</v>
      </c>
      <c r="J497" s="6" t="b">
        <f>IF(AND(H497&lt;Config!$B$2,I497&lt;&gt;"Approved / IFI"),TRUE,FALSE)</f>
        <v>0</v>
      </c>
      <c r="K497" s="6" t="str">
        <f t="shared" si="7"/>
        <v>Complete</v>
      </c>
    </row>
    <row r="498" spans="1:11" x14ac:dyDescent="0.25">
      <c r="A498" s="6" t="s">
        <v>1112</v>
      </c>
      <c r="B498" s="6" t="s">
        <v>250</v>
      </c>
      <c r="C498" s="6" t="s">
        <v>1113</v>
      </c>
      <c r="D498" s="6" t="s">
        <v>50</v>
      </c>
      <c r="E498" s="6" t="s">
        <v>156</v>
      </c>
      <c r="F498" s="6">
        <v>4</v>
      </c>
      <c r="G498" s="11">
        <v>46143.000009837961</v>
      </c>
      <c r="H498" s="11">
        <v>46159.000009837961</v>
      </c>
      <c r="I498" s="6" t="s">
        <v>94</v>
      </c>
      <c r="J498" s="6" t="b">
        <f>IF(AND(H498&lt;Config!$B$2,I498&lt;&gt;"Approved / IFI"),TRUE,FALSE)</f>
        <v>0</v>
      </c>
      <c r="K498" s="6" t="str">
        <f t="shared" si="7"/>
        <v>Complete</v>
      </c>
    </row>
    <row r="499" spans="1:11" x14ac:dyDescent="0.25">
      <c r="A499" s="6" t="s">
        <v>1114</v>
      </c>
      <c r="B499" s="6" t="s">
        <v>250</v>
      </c>
      <c r="C499" s="6" t="s">
        <v>678</v>
      </c>
      <c r="D499" s="6" t="s">
        <v>50</v>
      </c>
      <c r="E499" s="6" t="s">
        <v>137</v>
      </c>
      <c r="F499" s="6">
        <v>0</v>
      </c>
      <c r="G499" s="11">
        <v>46169.000009837961</v>
      </c>
      <c r="H499" s="11">
        <v>46198.000009837961</v>
      </c>
      <c r="I499" s="6" t="s">
        <v>94</v>
      </c>
      <c r="J499" s="6" t="b">
        <f>IF(AND(H499&lt;Config!$B$2,I499&lt;&gt;"Approved / IFI"),TRUE,FALSE)</f>
        <v>0</v>
      </c>
      <c r="K499" s="6" t="str">
        <f t="shared" si="7"/>
        <v>Complete</v>
      </c>
    </row>
    <row r="500" spans="1:11" x14ac:dyDescent="0.25">
      <c r="A500" s="6" t="s">
        <v>1115</v>
      </c>
      <c r="B500" s="6" t="s">
        <v>250</v>
      </c>
      <c r="C500" s="6" t="s">
        <v>1116</v>
      </c>
      <c r="D500" s="6" t="s">
        <v>51</v>
      </c>
      <c r="E500" s="6" t="s">
        <v>292</v>
      </c>
      <c r="F500" s="6">
        <v>0</v>
      </c>
      <c r="G500" s="11">
        <v>46051.000009837961</v>
      </c>
      <c r="H500" s="11">
        <v>46089.000009837961</v>
      </c>
      <c r="I500" s="6" t="s">
        <v>94</v>
      </c>
      <c r="J500" s="6" t="b">
        <f>IF(AND(H500&lt;Config!$B$2,I500&lt;&gt;"Approved / IFI"),TRUE,FALSE)</f>
        <v>0</v>
      </c>
      <c r="K500" s="6" t="str">
        <f t="shared" si="7"/>
        <v>Complete</v>
      </c>
    </row>
    <row r="501" spans="1:11" x14ac:dyDescent="0.25">
      <c r="A501" s="6" t="s">
        <v>1117</v>
      </c>
      <c r="B501" s="6" t="s">
        <v>250</v>
      </c>
      <c r="C501" s="6" t="s">
        <v>504</v>
      </c>
      <c r="D501" s="6" t="s">
        <v>50</v>
      </c>
      <c r="E501" s="6" t="s">
        <v>156</v>
      </c>
      <c r="F501" s="6">
        <v>0</v>
      </c>
      <c r="G501" s="11">
        <v>46062.000009837961</v>
      </c>
      <c r="H501" s="11">
        <v>46083.000009837961</v>
      </c>
      <c r="I501" s="6" t="s">
        <v>94</v>
      </c>
      <c r="J501" s="6" t="b">
        <f>IF(AND(H501&lt;Config!$B$2,I501&lt;&gt;"Approved / IFI"),TRUE,FALSE)</f>
        <v>0</v>
      </c>
      <c r="K501" s="6" t="str">
        <f t="shared" si="7"/>
        <v>Complete</v>
      </c>
    </row>
    <row r="502" spans="1:11" x14ac:dyDescent="0.25">
      <c r="A502" s="6" t="s">
        <v>1118</v>
      </c>
      <c r="B502" s="6" t="s">
        <v>250</v>
      </c>
      <c r="C502" s="6" t="s">
        <v>475</v>
      </c>
      <c r="D502" s="6" t="s">
        <v>52</v>
      </c>
      <c r="E502" s="6" t="s">
        <v>183</v>
      </c>
      <c r="F502" s="6">
        <v>0</v>
      </c>
      <c r="G502" s="11">
        <v>46138.000009837961</v>
      </c>
      <c r="H502" s="11">
        <v>46157.000009837961</v>
      </c>
      <c r="I502" s="6" t="s">
        <v>94</v>
      </c>
      <c r="J502" s="6" t="b">
        <f>IF(AND(H502&lt;Config!$B$2,I502&lt;&gt;"Approved / IFI"),TRUE,FALSE)</f>
        <v>0</v>
      </c>
      <c r="K502" s="6" t="str">
        <f t="shared" si="7"/>
        <v>Complete</v>
      </c>
    </row>
    <row r="503" spans="1:11" x14ac:dyDescent="0.25">
      <c r="A503" s="6" t="s">
        <v>1119</v>
      </c>
      <c r="B503" s="6" t="s">
        <v>250</v>
      </c>
      <c r="C503" s="6" t="s">
        <v>684</v>
      </c>
      <c r="D503" s="6" t="s">
        <v>50</v>
      </c>
      <c r="E503" s="6" t="s">
        <v>137</v>
      </c>
      <c r="F503" s="6">
        <v>3</v>
      </c>
      <c r="G503" s="11">
        <v>46203.000009837961</v>
      </c>
      <c r="H503" s="11">
        <v>46215.000009837961</v>
      </c>
      <c r="I503" s="6" t="s">
        <v>94</v>
      </c>
      <c r="J503" s="6" t="b">
        <f>IF(AND(H503&lt;Config!$B$2,I503&lt;&gt;"Approved / IFI"),TRUE,FALSE)</f>
        <v>0</v>
      </c>
      <c r="K503" s="6" t="str">
        <f t="shared" si="7"/>
        <v>Complete</v>
      </c>
    </row>
    <row r="504" spans="1:11" x14ac:dyDescent="0.25">
      <c r="A504" s="6" t="s">
        <v>1120</v>
      </c>
      <c r="B504" s="6" t="s">
        <v>250</v>
      </c>
      <c r="C504" s="6" t="s">
        <v>818</v>
      </c>
      <c r="D504" s="6" t="s">
        <v>52</v>
      </c>
      <c r="E504" s="6" t="s">
        <v>304</v>
      </c>
      <c r="F504" s="6">
        <v>4</v>
      </c>
      <c r="G504" s="11">
        <v>46115.000009837961</v>
      </c>
      <c r="H504" s="11">
        <v>46141.000009837961</v>
      </c>
      <c r="I504" s="6" t="s">
        <v>94</v>
      </c>
      <c r="J504" s="6" t="b">
        <f>IF(AND(H504&lt;Config!$B$2,I504&lt;&gt;"Approved / IFI"),TRUE,FALSE)</f>
        <v>0</v>
      </c>
      <c r="K504" s="6" t="str">
        <f t="shared" si="7"/>
        <v>Complete</v>
      </c>
    </row>
    <row r="505" spans="1:11" x14ac:dyDescent="0.25">
      <c r="A505" s="6" t="s">
        <v>1121</v>
      </c>
      <c r="B505" s="6" t="s">
        <v>250</v>
      </c>
      <c r="C505" s="6" t="s">
        <v>590</v>
      </c>
      <c r="D505" s="6" t="s">
        <v>54</v>
      </c>
      <c r="E505" s="6" t="s">
        <v>144</v>
      </c>
      <c r="F505" s="6">
        <v>2</v>
      </c>
      <c r="G505" s="11">
        <v>46171.000009837961</v>
      </c>
      <c r="H505" s="11">
        <v>46193.000009837961</v>
      </c>
      <c r="I505" s="6" t="s">
        <v>94</v>
      </c>
      <c r="J505" s="6" t="b">
        <f>IF(AND(H505&lt;Config!$B$2,I505&lt;&gt;"Approved / IFI"),TRUE,FALSE)</f>
        <v>0</v>
      </c>
      <c r="K505" s="6" t="str">
        <f t="shared" si="7"/>
        <v>Complete</v>
      </c>
    </row>
    <row r="506" spans="1:11" x14ac:dyDescent="0.25">
      <c r="A506" s="6" t="s">
        <v>1122</v>
      </c>
      <c r="B506" s="6" t="s">
        <v>250</v>
      </c>
      <c r="C506" s="6" t="s">
        <v>684</v>
      </c>
      <c r="D506" s="6" t="s">
        <v>50</v>
      </c>
      <c r="E506" s="6" t="s">
        <v>156</v>
      </c>
      <c r="F506" s="6">
        <v>0</v>
      </c>
      <c r="G506" s="11">
        <v>46037.000009837961</v>
      </c>
      <c r="H506" s="11">
        <v>46076.000009837961</v>
      </c>
      <c r="I506" s="6" t="s">
        <v>94</v>
      </c>
      <c r="J506" s="6" t="b">
        <f>IF(AND(H506&lt;Config!$B$2,I506&lt;&gt;"Approved / IFI"),TRUE,FALSE)</f>
        <v>0</v>
      </c>
      <c r="K506" s="6" t="str">
        <f t="shared" si="7"/>
        <v>Complete</v>
      </c>
    </row>
    <row r="507" spans="1:11" x14ac:dyDescent="0.25">
      <c r="A507" s="6" t="s">
        <v>1123</v>
      </c>
      <c r="B507" s="6" t="s">
        <v>250</v>
      </c>
      <c r="C507" s="6" t="s">
        <v>473</v>
      </c>
      <c r="D507" s="6" t="s">
        <v>53</v>
      </c>
      <c r="E507" s="6" t="s">
        <v>287</v>
      </c>
      <c r="F507" s="6">
        <v>0</v>
      </c>
      <c r="G507" s="11">
        <v>46183.000009837961</v>
      </c>
      <c r="H507" s="11">
        <v>46204.000009837961</v>
      </c>
      <c r="I507" s="6" t="s">
        <v>94</v>
      </c>
      <c r="J507" s="6" t="b">
        <f>IF(AND(H507&lt;Config!$B$2,I507&lt;&gt;"Approved / IFI"),TRUE,FALSE)</f>
        <v>0</v>
      </c>
      <c r="K507" s="6" t="str">
        <f t="shared" si="7"/>
        <v>Complete</v>
      </c>
    </row>
    <row r="508" spans="1:11" x14ac:dyDescent="0.25">
      <c r="A508" s="6" t="s">
        <v>1124</v>
      </c>
      <c r="B508" s="6" t="s">
        <v>250</v>
      </c>
      <c r="C508" s="6" t="s">
        <v>473</v>
      </c>
      <c r="D508" s="6" t="s">
        <v>53</v>
      </c>
      <c r="E508" s="6" t="s">
        <v>156</v>
      </c>
      <c r="F508" s="6">
        <v>0</v>
      </c>
      <c r="G508" s="11">
        <v>46164.000009837961</v>
      </c>
      <c r="H508" s="11">
        <v>46180.000009837961</v>
      </c>
      <c r="I508" s="6" t="s">
        <v>94</v>
      </c>
      <c r="J508" s="6" t="b">
        <f>IF(AND(H508&lt;Config!$B$2,I508&lt;&gt;"Approved / IFI"),TRUE,FALSE)</f>
        <v>0</v>
      </c>
      <c r="K508" s="6" t="str">
        <f t="shared" si="7"/>
        <v>Complete</v>
      </c>
    </row>
    <row r="509" spans="1:11" x14ac:dyDescent="0.25">
      <c r="A509" s="6" t="s">
        <v>1125</v>
      </c>
      <c r="B509" s="6" t="s">
        <v>250</v>
      </c>
      <c r="C509" s="6" t="s">
        <v>482</v>
      </c>
      <c r="D509" s="6" t="s">
        <v>50</v>
      </c>
      <c r="E509" s="6" t="s">
        <v>298</v>
      </c>
      <c r="F509" s="6">
        <v>0</v>
      </c>
      <c r="G509" s="11">
        <v>46167.000009837961</v>
      </c>
      <c r="H509" s="11">
        <v>46201.000009837961</v>
      </c>
      <c r="I509" s="6" t="s">
        <v>94</v>
      </c>
      <c r="J509" s="6" t="b">
        <f>IF(AND(H509&lt;Config!$B$2,I509&lt;&gt;"Approved / IFI"),TRUE,FALSE)</f>
        <v>0</v>
      </c>
      <c r="K509" s="6" t="str">
        <f t="shared" si="7"/>
        <v>Complete</v>
      </c>
    </row>
    <row r="510" spans="1:11" x14ac:dyDescent="0.25">
      <c r="A510" s="6" t="s">
        <v>1126</v>
      </c>
      <c r="B510" s="6" t="s">
        <v>250</v>
      </c>
      <c r="C510" s="6" t="s">
        <v>678</v>
      </c>
      <c r="D510" s="6" t="s">
        <v>50</v>
      </c>
      <c r="E510" s="6" t="s">
        <v>150</v>
      </c>
      <c r="F510" s="6">
        <v>2</v>
      </c>
      <c r="G510" s="11">
        <v>46104.000009837961</v>
      </c>
      <c r="H510" s="11">
        <v>46124.000009837961</v>
      </c>
      <c r="I510" s="6" t="s">
        <v>94</v>
      </c>
      <c r="J510" s="6" t="b">
        <f>IF(AND(H510&lt;Config!$B$2,I510&lt;&gt;"Approved / IFI"),TRUE,FALSE)</f>
        <v>0</v>
      </c>
      <c r="K510" s="6" t="str">
        <f t="shared" si="7"/>
        <v>Complete</v>
      </c>
    </row>
    <row r="511" spans="1:11" x14ac:dyDescent="0.25">
      <c r="A511" s="6" t="s">
        <v>1127</v>
      </c>
      <c r="B511" s="6" t="s">
        <v>250</v>
      </c>
      <c r="C511" s="6" t="s">
        <v>1128</v>
      </c>
      <c r="D511" s="6" t="s">
        <v>56</v>
      </c>
      <c r="E511" s="6" t="s">
        <v>317</v>
      </c>
      <c r="F511" s="6">
        <v>1</v>
      </c>
      <c r="G511" s="11">
        <v>46261.000009837961</v>
      </c>
      <c r="H511" s="11">
        <v>46295.000009837961</v>
      </c>
      <c r="I511" s="6" t="s">
        <v>91</v>
      </c>
      <c r="J511" s="6" t="b">
        <f>IF(AND(H511&lt;Config!$B$2,I511&lt;&gt;"Approved / IFI"),TRUE,FALSE)</f>
        <v>0</v>
      </c>
      <c r="K511" s="6" t="str">
        <f t="shared" si="7"/>
        <v>In Review</v>
      </c>
    </row>
    <row r="512" spans="1:11" x14ac:dyDescent="0.25">
      <c r="A512" s="6" t="s">
        <v>1129</v>
      </c>
      <c r="B512" s="6" t="s">
        <v>253</v>
      </c>
      <c r="C512" s="6" t="s">
        <v>562</v>
      </c>
      <c r="D512" s="6" t="s">
        <v>50</v>
      </c>
      <c r="E512" s="6" t="s">
        <v>300</v>
      </c>
      <c r="F512" s="6">
        <v>1</v>
      </c>
      <c r="G512" s="11">
        <v>46102.000009837961</v>
      </c>
      <c r="H512" s="11">
        <v>46112.000009837961</v>
      </c>
      <c r="I512" s="6" t="s">
        <v>94</v>
      </c>
      <c r="J512" s="6" t="b">
        <f>IF(AND(H512&lt;Config!$B$2,I512&lt;&gt;"Approved / IFI"),TRUE,FALSE)</f>
        <v>0</v>
      </c>
      <c r="K512" s="6" t="str">
        <f t="shared" si="7"/>
        <v>Complete</v>
      </c>
    </row>
    <row r="513" spans="1:11" x14ac:dyDescent="0.25">
      <c r="A513" s="6" t="s">
        <v>1130</v>
      </c>
      <c r="B513" s="6" t="s">
        <v>253</v>
      </c>
      <c r="C513" s="6" t="s">
        <v>1131</v>
      </c>
      <c r="D513" s="6" t="s">
        <v>56</v>
      </c>
      <c r="E513" s="6" t="s">
        <v>317</v>
      </c>
      <c r="F513" s="6">
        <v>1</v>
      </c>
      <c r="G513" s="11">
        <v>46187.000009837961</v>
      </c>
      <c r="H513" s="11">
        <v>46205.000009837961</v>
      </c>
      <c r="I513" s="6" t="s">
        <v>94</v>
      </c>
      <c r="J513" s="6" t="b">
        <f>IF(AND(H513&lt;Config!$B$2,I513&lt;&gt;"Approved / IFI"),TRUE,FALSE)</f>
        <v>0</v>
      </c>
      <c r="K513" s="6" t="str">
        <f t="shared" si="7"/>
        <v>Complete</v>
      </c>
    </row>
    <row r="514" spans="1:11" x14ac:dyDescent="0.25">
      <c r="A514" s="6" t="s">
        <v>1132</v>
      </c>
      <c r="B514" s="6" t="s">
        <v>253</v>
      </c>
      <c r="C514" s="6" t="s">
        <v>694</v>
      </c>
      <c r="D514" s="6" t="s">
        <v>50</v>
      </c>
      <c r="E514" s="6" t="s">
        <v>300</v>
      </c>
      <c r="F514" s="6">
        <v>4</v>
      </c>
      <c r="G514" s="11">
        <v>46137.000009837961</v>
      </c>
      <c r="H514" s="11">
        <v>46174.000009837961</v>
      </c>
      <c r="I514" s="6" t="s">
        <v>94</v>
      </c>
      <c r="J514" s="6" t="b">
        <f>IF(AND(H514&lt;Config!$B$2,I514&lt;&gt;"Approved / IFI"),TRUE,FALSE)</f>
        <v>0</v>
      </c>
      <c r="K514" s="6" t="str">
        <f t="shared" ref="K514:K563" si="8">IF(J514=TRUE,"Overdue",IF(I514="Approved / IFI","Complete",IF(I514="Internal Development","In Progress",IF(I514="Revise &amp; Resubmit","Revise","In Review"))))</f>
        <v>Complete</v>
      </c>
    </row>
    <row r="515" spans="1:11" x14ac:dyDescent="0.25">
      <c r="A515" s="6" t="s">
        <v>1133</v>
      </c>
      <c r="B515" s="6" t="s">
        <v>253</v>
      </c>
      <c r="C515" s="6" t="s">
        <v>1134</v>
      </c>
      <c r="D515" s="6" t="s">
        <v>52</v>
      </c>
      <c r="E515" s="6" t="s">
        <v>302</v>
      </c>
      <c r="F515" s="6">
        <v>1</v>
      </c>
      <c r="G515" s="11">
        <v>46059.000009837961</v>
      </c>
      <c r="H515" s="11">
        <v>46082.000009837961</v>
      </c>
      <c r="I515" s="6" t="s">
        <v>94</v>
      </c>
      <c r="J515" s="6" t="b">
        <f>IF(AND(H515&lt;Config!$B$2,I515&lt;&gt;"Approved / IFI"),TRUE,FALSE)</f>
        <v>0</v>
      </c>
      <c r="K515" s="6" t="str">
        <f t="shared" si="8"/>
        <v>Complete</v>
      </c>
    </row>
    <row r="516" spans="1:11" x14ac:dyDescent="0.25">
      <c r="A516" s="6" t="s">
        <v>1135</v>
      </c>
      <c r="B516" s="6" t="s">
        <v>253</v>
      </c>
      <c r="C516" s="6" t="s">
        <v>473</v>
      </c>
      <c r="D516" s="6" t="s">
        <v>53</v>
      </c>
      <c r="E516" s="6" t="s">
        <v>287</v>
      </c>
      <c r="F516" s="6">
        <v>0</v>
      </c>
      <c r="G516" s="11">
        <v>46045.000009837961</v>
      </c>
      <c r="H516" s="11">
        <v>46060.000009837961</v>
      </c>
      <c r="I516" s="6" t="s">
        <v>94</v>
      </c>
      <c r="J516" s="6" t="b">
        <f>IF(AND(H516&lt;Config!$B$2,I516&lt;&gt;"Approved / IFI"),TRUE,FALSE)</f>
        <v>0</v>
      </c>
      <c r="K516" s="6" t="str">
        <f t="shared" si="8"/>
        <v>Complete</v>
      </c>
    </row>
    <row r="517" spans="1:11" x14ac:dyDescent="0.25">
      <c r="A517" s="6" t="s">
        <v>1136</v>
      </c>
      <c r="B517" s="6" t="s">
        <v>253</v>
      </c>
      <c r="C517" s="6" t="s">
        <v>1137</v>
      </c>
      <c r="D517" s="6" t="s">
        <v>55</v>
      </c>
      <c r="E517" s="6" t="s">
        <v>193</v>
      </c>
      <c r="F517" s="6">
        <v>0</v>
      </c>
      <c r="G517" s="11">
        <v>46106.000009837961</v>
      </c>
      <c r="H517" s="11">
        <v>46122.000009837961</v>
      </c>
      <c r="I517" s="6" t="s">
        <v>94</v>
      </c>
      <c r="J517" s="6" t="b">
        <f>IF(AND(H517&lt;Config!$B$2,I517&lt;&gt;"Approved / IFI"),TRUE,FALSE)</f>
        <v>0</v>
      </c>
      <c r="K517" s="6" t="str">
        <f t="shared" si="8"/>
        <v>Complete</v>
      </c>
    </row>
    <row r="518" spans="1:11" x14ac:dyDescent="0.25">
      <c r="A518" s="6" t="s">
        <v>1138</v>
      </c>
      <c r="B518" s="6" t="s">
        <v>253</v>
      </c>
      <c r="C518" s="6" t="s">
        <v>525</v>
      </c>
      <c r="D518" s="6" t="s">
        <v>54</v>
      </c>
      <c r="E518" s="6" t="s">
        <v>144</v>
      </c>
      <c r="F518" s="6">
        <v>2</v>
      </c>
      <c r="G518" s="11">
        <v>46078.000009837961</v>
      </c>
      <c r="H518" s="11">
        <v>46108.000009837961</v>
      </c>
      <c r="I518" s="6" t="s">
        <v>94</v>
      </c>
      <c r="J518" s="6" t="b">
        <f>IF(AND(H518&lt;Config!$B$2,I518&lt;&gt;"Approved / IFI"),TRUE,FALSE)</f>
        <v>0</v>
      </c>
      <c r="K518" s="6" t="str">
        <f t="shared" si="8"/>
        <v>Complete</v>
      </c>
    </row>
    <row r="519" spans="1:11" x14ac:dyDescent="0.25">
      <c r="A519" s="6" t="s">
        <v>1139</v>
      </c>
      <c r="B519" s="6" t="s">
        <v>253</v>
      </c>
      <c r="C519" s="6" t="s">
        <v>1067</v>
      </c>
      <c r="D519" s="6" t="s">
        <v>52</v>
      </c>
      <c r="E519" s="6" t="s">
        <v>304</v>
      </c>
      <c r="F519" s="6">
        <v>4</v>
      </c>
      <c r="G519" s="11">
        <v>46186.000009837961</v>
      </c>
      <c r="H519" s="11">
        <v>46205.000009837961</v>
      </c>
      <c r="I519" s="6" t="s">
        <v>94</v>
      </c>
      <c r="J519" s="6" t="b">
        <f>IF(AND(H519&lt;Config!$B$2,I519&lt;&gt;"Approved / IFI"),TRUE,FALSE)</f>
        <v>0</v>
      </c>
      <c r="K519" s="6" t="str">
        <f t="shared" si="8"/>
        <v>Complete</v>
      </c>
    </row>
    <row r="520" spans="1:11" x14ac:dyDescent="0.25">
      <c r="A520" s="6" t="s">
        <v>1140</v>
      </c>
      <c r="B520" s="6" t="s">
        <v>253</v>
      </c>
      <c r="C520" s="6" t="s">
        <v>610</v>
      </c>
      <c r="D520" s="6" t="s">
        <v>52</v>
      </c>
      <c r="E520" s="6" t="s">
        <v>183</v>
      </c>
      <c r="F520" s="6">
        <v>4</v>
      </c>
      <c r="G520" s="11">
        <v>46082.000009837961</v>
      </c>
      <c r="H520" s="11">
        <v>46121.000009837961</v>
      </c>
      <c r="I520" s="6" t="s">
        <v>94</v>
      </c>
      <c r="J520" s="6" t="b">
        <f>IF(AND(H520&lt;Config!$B$2,I520&lt;&gt;"Approved / IFI"),TRUE,FALSE)</f>
        <v>0</v>
      </c>
      <c r="K520" s="6" t="str">
        <f t="shared" si="8"/>
        <v>Complete</v>
      </c>
    </row>
    <row r="521" spans="1:11" x14ac:dyDescent="0.25">
      <c r="A521" s="6" t="s">
        <v>1141</v>
      </c>
      <c r="B521" s="6" t="s">
        <v>253</v>
      </c>
      <c r="C521" s="6" t="s">
        <v>457</v>
      </c>
      <c r="D521" s="6" t="s">
        <v>52</v>
      </c>
      <c r="E521" s="6" t="s">
        <v>302</v>
      </c>
      <c r="F521" s="6">
        <v>0</v>
      </c>
      <c r="G521" s="11">
        <v>46087.000009837961</v>
      </c>
      <c r="H521" s="11">
        <v>46101.000009837961</v>
      </c>
      <c r="I521" s="6" t="s">
        <v>94</v>
      </c>
      <c r="J521" s="6" t="b">
        <f>IF(AND(H521&lt;Config!$B$2,I521&lt;&gt;"Approved / IFI"),TRUE,FALSE)</f>
        <v>0</v>
      </c>
      <c r="K521" s="6" t="str">
        <f t="shared" si="8"/>
        <v>Complete</v>
      </c>
    </row>
    <row r="522" spans="1:11" x14ac:dyDescent="0.25">
      <c r="A522" s="6" t="s">
        <v>1142</v>
      </c>
      <c r="B522" s="6" t="s">
        <v>253</v>
      </c>
      <c r="C522" s="6" t="s">
        <v>749</v>
      </c>
      <c r="D522" s="6" t="s">
        <v>51</v>
      </c>
      <c r="E522" s="6" t="s">
        <v>292</v>
      </c>
      <c r="F522" s="6">
        <v>0</v>
      </c>
      <c r="G522" s="11">
        <v>46057.000009837961</v>
      </c>
      <c r="H522" s="11">
        <v>46089.000009837961</v>
      </c>
      <c r="I522" s="6" t="s">
        <v>94</v>
      </c>
      <c r="J522" s="6" t="b">
        <f>IF(AND(H522&lt;Config!$B$2,I522&lt;&gt;"Approved / IFI"),TRUE,FALSE)</f>
        <v>0</v>
      </c>
      <c r="K522" s="6" t="str">
        <f t="shared" si="8"/>
        <v>Complete</v>
      </c>
    </row>
    <row r="523" spans="1:11" x14ac:dyDescent="0.25">
      <c r="A523" s="6" t="s">
        <v>1143</v>
      </c>
      <c r="B523" s="6" t="s">
        <v>253</v>
      </c>
      <c r="C523" s="6" t="s">
        <v>550</v>
      </c>
      <c r="D523" s="6" t="s">
        <v>51</v>
      </c>
      <c r="E523" s="6" t="s">
        <v>292</v>
      </c>
      <c r="F523" s="6">
        <v>4</v>
      </c>
      <c r="G523" s="11">
        <v>46148.000009837961</v>
      </c>
      <c r="H523" s="11">
        <v>46171.000009837961</v>
      </c>
      <c r="I523" s="6" t="s">
        <v>94</v>
      </c>
      <c r="J523" s="6" t="b">
        <f>IF(AND(H523&lt;Config!$B$2,I523&lt;&gt;"Approved / IFI"),TRUE,FALSE)</f>
        <v>0</v>
      </c>
      <c r="K523" s="6" t="str">
        <f t="shared" si="8"/>
        <v>Complete</v>
      </c>
    </row>
    <row r="524" spans="1:11" x14ac:dyDescent="0.25">
      <c r="A524" s="6" t="s">
        <v>1144</v>
      </c>
      <c r="B524" s="6" t="s">
        <v>253</v>
      </c>
      <c r="C524" s="6" t="s">
        <v>511</v>
      </c>
      <c r="D524" s="6" t="s">
        <v>54</v>
      </c>
      <c r="E524" s="6" t="s">
        <v>284</v>
      </c>
      <c r="F524" s="6">
        <v>2</v>
      </c>
      <c r="G524" s="11">
        <v>46146.000009837961</v>
      </c>
      <c r="H524" s="11">
        <v>46178.000009837961</v>
      </c>
      <c r="I524" s="6" t="s">
        <v>94</v>
      </c>
      <c r="J524" s="6" t="b">
        <f>IF(AND(H524&lt;Config!$B$2,I524&lt;&gt;"Approved / IFI"),TRUE,FALSE)</f>
        <v>0</v>
      </c>
      <c r="K524" s="6" t="str">
        <f t="shared" si="8"/>
        <v>Complete</v>
      </c>
    </row>
    <row r="525" spans="1:11" x14ac:dyDescent="0.25">
      <c r="A525" s="6" t="s">
        <v>1145</v>
      </c>
      <c r="B525" s="6" t="s">
        <v>253</v>
      </c>
      <c r="C525" s="6" t="s">
        <v>1072</v>
      </c>
      <c r="D525" s="6" t="s">
        <v>55</v>
      </c>
      <c r="E525" s="6" t="s">
        <v>310</v>
      </c>
      <c r="F525" s="6">
        <v>0</v>
      </c>
      <c r="G525" s="11">
        <v>46077.000009837961</v>
      </c>
      <c r="H525" s="11">
        <v>46105.000009837961</v>
      </c>
      <c r="I525" s="6" t="s">
        <v>94</v>
      </c>
      <c r="J525" s="6" t="b">
        <f>IF(AND(H525&lt;Config!$B$2,I525&lt;&gt;"Approved / IFI"),TRUE,FALSE)</f>
        <v>0</v>
      </c>
      <c r="K525" s="6" t="str">
        <f t="shared" si="8"/>
        <v>Complete</v>
      </c>
    </row>
    <row r="526" spans="1:11" x14ac:dyDescent="0.25">
      <c r="A526" s="6" t="s">
        <v>1146</v>
      </c>
      <c r="B526" s="6" t="s">
        <v>253</v>
      </c>
      <c r="C526" s="6" t="s">
        <v>1078</v>
      </c>
      <c r="D526" s="6" t="s">
        <v>50</v>
      </c>
      <c r="E526" s="6" t="s">
        <v>156</v>
      </c>
      <c r="F526" s="6">
        <v>4</v>
      </c>
      <c r="G526" s="11">
        <v>46217.000009837961</v>
      </c>
      <c r="H526" s="11">
        <v>46229.000009837961</v>
      </c>
      <c r="I526" s="6" t="s">
        <v>94</v>
      </c>
      <c r="J526" s="6" t="b">
        <f>IF(AND(H526&lt;Config!$B$2,I526&lt;&gt;"Approved / IFI"),TRUE,FALSE)</f>
        <v>0</v>
      </c>
      <c r="K526" s="6" t="str">
        <f t="shared" si="8"/>
        <v>Complete</v>
      </c>
    </row>
    <row r="527" spans="1:11" x14ac:dyDescent="0.25">
      <c r="A527" s="6" t="s">
        <v>1147</v>
      </c>
      <c r="B527" s="6" t="s">
        <v>253</v>
      </c>
      <c r="C527" s="6" t="s">
        <v>498</v>
      </c>
      <c r="D527" s="6" t="s">
        <v>52</v>
      </c>
      <c r="E527" s="6" t="s">
        <v>183</v>
      </c>
      <c r="F527" s="6">
        <v>4</v>
      </c>
      <c r="G527" s="11">
        <v>46039.000009837961</v>
      </c>
      <c r="H527" s="11">
        <v>46051.000009837961</v>
      </c>
      <c r="I527" s="6" t="s">
        <v>94</v>
      </c>
      <c r="J527" s="6" t="b">
        <f>IF(AND(H527&lt;Config!$B$2,I527&lt;&gt;"Approved / IFI"),TRUE,FALSE)</f>
        <v>0</v>
      </c>
      <c r="K527" s="6" t="str">
        <f t="shared" si="8"/>
        <v>Complete</v>
      </c>
    </row>
    <row r="528" spans="1:11" x14ac:dyDescent="0.25">
      <c r="A528" s="6" t="s">
        <v>1148</v>
      </c>
      <c r="B528" s="6" t="s">
        <v>256</v>
      </c>
      <c r="C528" s="6" t="s">
        <v>511</v>
      </c>
      <c r="D528" s="6" t="s">
        <v>54</v>
      </c>
      <c r="E528" s="6" t="s">
        <v>321</v>
      </c>
      <c r="F528" s="6">
        <v>0</v>
      </c>
      <c r="G528" s="11">
        <v>46180.000009837961</v>
      </c>
      <c r="H528" s="11">
        <v>46209.000009837961</v>
      </c>
      <c r="I528" s="6" t="s">
        <v>94</v>
      </c>
      <c r="J528" s="6" t="b">
        <f>IF(AND(H528&lt;Config!$B$2,I528&lt;&gt;"Approved / IFI"),TRUE,FALSE)</f>
        <v>0</v>
      </c>
      <c r="K528" s="6" t="str">
        <f t="shared" si="8"/>
        <v>Complete</v>
      </c>
    </row>
    <row r="529" spans="1:11" x14ac:dyDescent="0.25">
      <c r="A529" s="6" t="s">
        <v>1149</v>
      </c>
      <c r="B529" s="6" t="s">
        <v>256</v>
      </c>
      <c r="C529" s="6" t="s">
        <v>1150</v>
      </c>
      <c r="D529" s="6" t="s">
        <v>52</v>
      </c>
      <c r="E529" s="6" t="s">
        <v>183</v>
      </c>
      <c r="F529" s="6">
        <v>1</v>
      </c>
      <c r="G529" s="11">
        <v>46142.000009837961</v>
      </c>
      <c r="H529" s="11">
        <v>46159.000009837961</v>
      </c>
      <c r="I529" s="6" t="s">
        <v>94</v>
      </c>
      <c r="J529" s="6" t="b">
        <f>IF(AND(H529&lt;Config!$B$2,I529&lt;&gt;"Approved / IFI"),TRUE,FALSE)</f>
        <v>0</v>
      </c>
      <c r="K529" s="6" t="str">
        <f t="shared" si="8"/>
        <v>Complete</v>
      </c>
    </row>
    <row r="530" spans="1:11" x14ac:dyDescent="0.25">
      <c r="A530" s="6" t="s">
        <v>1151</v>
      </c>
      <c r="B530" s="6" t="s">
        <v>256</v>
      </c>
      <c r="C530" s="6" t="s">
        <v>678</v>
      </c>
      <c r="D530" s="6" t="s">
        <v>50</v>
      </c>
      <c r="E530" s="6" t="s">
        <v>298</v>
      </c>
      <c r="F530" s="6">
        <v>1</v>
      </c>
      <c r="G530" s="11">
        <v>46042.000009837961</v>
      </c>
      <c r="H530" s="11">
        <v>46075.000009837961</v>
      </c>
      <c r="I530" s="6" t="s">
        <v>94</v>
      </c>
      <c r="J530" s="6" t="b">
        <f>IF(AND(H530&lt;Config!$B$2,I530&lt;&gt;"Approved / IFI"),TRUE,FALSE)</f>
        <v>0</v>
      </c>
      <c r="K530" s="6" t="str">
        <f t="shared" si="8"/>
        <v>Complete</v>
      </c>
    </row>
    <row r="531" spans="1:11" x14ac:dyDescent="0.25">
      <c r="A531" s="6" t="s">
        <v>1152</v>
      </c>
      <c r="B531" s="6" t="s">
        <v>256</v>
      </c>
      <c r="C531" s="6" t="s">
        <v>613</v>
      </c>
      <c r="D531" s="6" t="s">
        <v>50</v>
      </c>
      <c r="E531" s="6" t="s">
        <v>300</v>
      </c>
      <c r="F531" s="6">
        <v>2</v>
      </c>
      <c r="G531" s="11">
        <v>46050.000009837961</v>
      </c>
      <c r="H531" s="11">
        <v>46082.000009837961</v>
      </c>
      <c r="I531" s="6" t="s">
        <v>94</v>
      </c>
      <c r="J531" s="6" t="b">
        <f>IF(AND(H531&lt;Config!$B$2,I531&lt;&gt;"Approved / IFI"),TRUE,FALSE)</f>
        <v>0</v>
      </c>
      <c r="K531" s="6" t="str">
        <f t="shared" si="8"/>
        <v>Complete</v>
      </c>
    </row>
    <row r="532" spans="1:11" x14ac:dyDescent="0.25">
      <c r="A532" s="6" t="s">
        <v>1153</v>
      </c>
      <c r="B532" s="6" t="s">
        <v>256</v>
      </c>
      <c r="C532" s="6" t="s">
        <v>1137</v>
      </c>
      <c r="D532" s="6" t="s">
        <v>55</v>
      </c>
      <c r="E532" s="6" t="s">
        <v>310</v>
      </c>
      <c r="F532" s="6">
        <v>2</v>
      </c>
      <c r="G532" s="11">
        <v>46135.000009837961</v>
      </c>
      <c r="H532" s="11">
        <v>46167.000009837961</v>
      </c>
      <c r="I532" s="6" t="s">
        <v>94</v>
      </c>
      <c r="J532" s="6" t="b">
        <f>IF(AND(H532&lt;Config!$B$2,I532&lt;&gt;"Approved / IFI"),TRUE,FALSE)</f>
        <v>0</v>
      </c>
      <c r="K532" s="6" t="str">
        <f t="shared" si="8"/>
        <v>Complete</v>
      </c>
    </row>
    <row r="533" spans="1:11" x14ac:dyDescent="0.25">
      <c r="A533" s="6" t="s">
        <v>1154</v>
      </c>
      <c r="B533" s="6" t="s">
        <v>256</v>
      </c>
      <c r="C533" s="6" t="s">
        <v>613</v>
      </c>
      <c r="D533" s="6" t="s">
        <v>50</v>
      </c>
      <c r="E533" s="6" t="s">
        <v>296</v>
      </c>
      <c r="F533" s="6">
        <v>3</v>
      </c>
      <c r="G533" s="11">
        <v>46151.000009837961</v>
      </c>
      <c r="H533" s="11">
        <v>46182.000009837961</v>
      </c>
      <c r="I533" s="6" t="s">
        <v>94</v>
      </c>
      <c r="J533" s="6" t="b">
        <f>IF(AND(H533&lt;Config!$B$2,I533&lt;&gt;"Approved / IFI"),TRUE,FALSE)</f>
        <v>0</v>
      </c>
      <c r="K533" s="6" t="str">
        <f t="shared" si="8"/>
        <v>Complete</v>
      </c>
    </row>
    <row r="534" spans="1:11" x14ac:dyDescent="0.25">
      <c r="A534" s="6" t="s">
        <v>1155</v>
      </c>
      <c r="B534" s="6" t="s">
        <v>256</v>
      </c>
      <c r="C534" s="6" t="s">
        <v>488</v>
      </c>
      <c r="D534" s="6" t="s">
        <v>53</v>
      </c>
      <c r="E534" s="6" t="s">
        <v>168</v>
      </c>
      <c r="F534" s="6">
        <v>3</v>
      </c>
      <c r="G534" s="11">
        <v>46158.000009837961</v>
      </c>
      <c r="H534" s="11">
        <v>46184.000009837961</v>
      </c>
      <c r="I534" s="6" t="s">
        <v>94</v>
      </c>
      <c r="J534" s="6" t="b">
        <f>IF(AND(H534&lt;Config!$B$2,I534&lt;&gt;"Approved / IFI"),TRUE,FALSE)</f>
        <v>0</v>
      </c>
      <c r="K534" s="6" t="str">
        <f t="shared" si="8"/>
        <v>Complete</v>
      </c>
    </row>
    <row r="535" spans="1:11" x14ac:dyDescent="0.25">
      <c r="A535" s="6" t="s">
        <v>1156</v>
      </c>
      <c r="B535" s="6" t="s">
        <v>256</v>
      </c>
      <c r="C535" s="6" t="s">
        <v>684</v>
      </c>
      <c r="D535" s="6" t="s">
        <v>50</v>
      </c>
      <c r="E535" s="6" t="s">
        <v>296</v>
      </c>
      <c r="F535" s="6">
        <v>2</v>
      </c>
      <c r="G535" s="11">
        <v>46166.000009837961</v>
      </c>
      <c r="H535" s="11">
        <v>46197.000009837961</v>
      </c>
      <c r="I535" s="6" t="s">
        <v>94</v>
      </c>
      <c r="J535" s="6" t="b">
        <f>IF(AND(H535&lt;Config!$B$2,I535&lt;&gt;"Approved / IFI"),TRUE,FALSE)</f>
        <v>0</v>
      </c>
      <c r="K535" s="6" t="str">
        <f t="shared" si="8"/>
        <v>Complete</v>
      </c>
    </row>
    <row r="536" spans="1:11" x14ac:dyDescent="0.25">
      <c r="A536" s="6" t="s">
        <v>1157</v>
      </c>
      <c r="B536" s="6" t="s">
        <v>256</v>
      </c>
      <c r="C536" s="6" t="s">
        <v>940</v>
      </c>
      <c r="D536" s="6" t="s">
        <v>51</v>
      </c>
      <c r="E536" s="6" t="s">
        <v>162</v>
      </c>
      <c r="F536" s="6">
        <v>1</v>
      </c>
      <c r="G536" s="11">
        <v>46193.000009837961</v>
      </c>
      <c r="H536" s="11">
        <v>46224.000009837961</v>
      </c>
      <c r="I536" s="6" t="s">
        <v>94</v>
      </c>
      <c r="J536" s="6" t="b">
        <f>IF(AND(H536&lt;Config!$B$2,I536&lt;&gt;"Approved / IFI"),TRUE,FALSE)</f>
        <v>0</v>
      </c>
      <c r="K536" s="6" t="str">
        <f t="shared" si="8"/>
        <v>Complete</v>
      </c>
    </row>
    <row r="537" spans="1:11" x14ac:dyDescent="0.25">
      <c r="A537" s="6" t="s">
        <v>1158</v>
      </c>
      <c r="B537" s="6" t="s">
        <v>256</v>
      </c>
      <c r="C537" s="6" t="s">
        <v>1159</v>
      </c>
      <c r="D537" s="6" t="s">
        <v>52</v>
      </c>
      <c r="E537" s="6" t="s">
        <v>279</v>
      </c>
      <c r="F537" s="6">
        <v>0</v>
      </c>
      <c r="G537" s="11">
        <v>46033.000009837961</v>
      </c>
      <c r="H537" s="11">
        <v>46063.000009837961</v>
      </c>
      <c r="I537" s="6" t="s">
        <v>94</v>
      </c>
      <c r="J537" s="6" t="b">
        <f>IF(AND(H537&lt;Config!$B$2,I537&lt;&gt;"Approved / IFI"),TRUE,FALSE)</f>
        <v>0</v>
      </c>
      <c r="K537" s="6" t="str">
        <f t="shared" si="8"/>
        <v>Complete</v>
      </c>
    </row>
    <row r="538" spans="1:11" x14ac:dyDescent="0.25">
      <c r="A538" s="6" t="s">
        <v>1160</v>
      </c>
      <c r="B538" s="6" t="s">
        <v>256</v>
      </c>
      <c r="C538" s="6" t="s">
        <v>488</v>
      </c>
      <c r="D538" s="6" t="s">
        <v>53</v>
      </c>
      <c r="E538" s="6" t="s">
        <v>156</v>
      </c>
      <c r="F538" s="6">
        <v>1</v>
      </c>
      <c r="G538" s="11">
        <v>46094.000009837961</v>
      </c>
      <c r="H538" s="11">
        <v>46124.000009837961</v>
      </c>
      <c r="I538" s="6" t="s">
        <v>94</v>
      </c>
      <c r="J538" s="6" t="b">
        <f>IF(AND(H538&lt;Config!$B$2,I538&lt;&gt;"Approved / IFI"),TRUE,FALSE)</f>
        <v>0</v>
      </c>
      <c r="K538" s="6" t="str">
        <f t="shared" si="8"/>
        <v>Complete</v>
      </c>
    </row>
    <row r="539" spans="1:11" x14ac:dyDescent="0.25">
      <c r="A539" s="6" t="s">
        <v>1161</v>
      </c>
      <c r="B539" s="6" t="s">
        <v>256</v>
      </c>
      <c r="C539" s="6" t="s">
        <v>928</v>
      </c>
      <c r="D539" s="6" t="s">
        <v>51</v>
      </c>
      <c r="E539" s="6" t="s">
        <v>162</v>
      </c>
      <c r="F539" s="6">
        <v>1</v>
      </c>
      <c r="G539" s="11">
        <v>46199.000009837961</v>
      </c>
      <c r="H539" s="11">
        <v>46235.000009837961</v>
      </c>
      <c r="I539" s="6" t="s">
        <v>94</v>
      </c>
      <c r="J539" s="6" t="b">
        <f>IF(AND(H539&lt;Config!$B$2,I539&lt;&gt;"Approved / IFI"),TRUE,FALSE)</f>
        <v>0</v>
      </c>
      <c r="K539" s="6" t="str">
        <f t="shared" si="8"/>
        <v>Complete</v>
      </c>
    </row>
    <row r="540" spans="1:11" x14ac:dyDescent="0.25">
      <c r="A540" s="6" t="s">
        <v>1162</v>
      </c>
      <c r="B540" s="6" t="s">
        <v>256</v>
      </c>
      <c r="C540" s="6" t="s">
        <v>498</v>
      </c>
      <c r="D540" s="6" t="s">
        <v>52</v>
      </c>
      <c r="E540" s="6" t="s">
        <v>279</v>
      </c>
      <c r="F540" s="6">
        <v>4</v>
      </c>
      <c r="G540" s="11">
        <v>46113.000009837961</v>
      </c>
      <c r="H540" s="11">
        <v>46139.000009837961</v>
      </c>
      <c r="I540" s="6" t="s">
        <v>94</v>
      </c>
      <c r="J540" s="6" t="b">
        <f>IF(AND(H540&lt;Config!$B$2,I540&lt;&gt;"Approved / IFI"),TRUE,FALSE)</f>
        <v>0</v>
      </c>
      <c r="K540" s="6" t="str">
        <f t="shared" si="8"/>
        <v>Complete</v>
      </c>
    </row>
    <row r="541" spans="1:11" x14ac:dyDescent="0.25">
      <c r="A541" s="6" t="s">
        <v>1163</v>
      </c>
      <c r="B541" s="6" t="s">
        <v>256</v>
      </c>
      <c r="C541" s="6" t="s">
        <v>947</v>
      </c>
      <c r="D541" s="6" t="s">
        <v>50</v>
      </c>
      <c r="E541" s="6" t="s">
        <v>298</v>
      </c>
      <c r="F541" s="6">
        <v>4</v>
      </c>
      <c r="G541" s="11">
        <v>46043.000009837961</v>
      </c>
      <c r="H541" s="11">
        <v>46056.000009837961</v>
      </c>
      <c r="I541" s="6" t="s">
        <v>94</v>
      </c>
      <c r="J541" s="6" t="b">
        <f>IF(AND(H541&lt;Config!$B$2,I541&lt;&gt;"Approved / IFI"),TRUE,FALSE)</f>
        <v>0</v>
      </c>
      <c r="K541" s="6" t="str">
        <f t="shared" si="8"/>
        <v>Complete</v>
      </c>
    </row>
    <row r="542" spans="1:11" x14ac:dyDescent="0.25">
      <c r="A542" s="6" t="s">
        <v>1164</v>
      </c>
      <c r="B542" s="6" t="s">
        <v>256</v>
      </c>
      <c r="C542" s="6" t="s">
        <v>500</v>
      </c>
      <c r="D542" s="6" t="s">
        <v>50</v>
      </c>
      <c r="E542" s="6" t="s">
        <v>300</v>
      </c>
      <c r="F542" s="6">
        <v>4</v>
      </c>
      <c r="G542" s="11">
        <v>46031.000009837961</v>
      </c>
      <c r="H542" s="11">
        <v>46060.000009837961</v>
      </c>
      <c r="I542" s="6" t="s">
        <v>94</v>
      </c>
      <c r="J542" s="6" t="b">
        <f>IF(AND(H542&lt;Config!$B$2,I542&lt;&gt;"Approved / IFI"),TRUE,FALSE)</f>
        <v>0</v>
      </c>
      <c r="K542" s="6" t="str">
        <f t="shared" si="8"/>
        <v>Complete</v>
      </c>
    </row>
    <row r="543" spans="1:11" x14ac:dyDescent="0.25">
      <c r="A543" s="6" t="s">
        <v>1165</v>
      </c>
      <c r="B543" s="6" t="s">
        <v>256</v>
      </c>
      <c r="C543" s="6" t="s">
        <v>1150</v>
      </c>
      <c r="D543" s="6" t="s">
        <v>52</v>
      </c>
      <c r="E543" s="6" t="s">
        <v>183</v>
      </c>
      <c r="F543" s="6">
        <v>3</v>
      </c>
      <c r="G543" s="11">
        <v>46096.000009837961</v>
      </c>
      <c r="H543" s="11">
        <v>46123.000009837961</v>
      </c>
      <c r="I543" s="6" t="s">
        <v>94</v>
      </c>
      <c r="J543" s="6" t="b">
        <f>IF(AND(H543&lt;Config!$B$2,I543&lt;&gt;"Approved / IFI"),TRUE,FALSE)</f>
        <v>0</v>
      </c>
      <c r="K543" s="6" t="str">
        <f t="shared" si="8"/>
        <v>Complete</v>
      </c>
    </row>
    <row r="544" spans="1:11" x14ac:dyDescent="0.25">
      <c r="A544" s="6" t="s">
        <v>1166</v>
      </c>
      <c r="B544" s="6" t="s">
        <v>256</v>
      </c>
      <c r="C544" s="6" t="s">
        <v>484</v>
      </c>
      <c r="D544" s="6" t="s">
        <v>52</v>
      </c>
      <c r="E544" s="6" t="s">
        <v>302</v>
      </c>
      <c r="F544" s="6">
        <v>0</v>
      </c>
      <c r="G544" s="11">
        <v>46138.000009837961</v>
      </c>
      <c r="H544" s="11">
        <v>46165.000009837961</v>
      </c>
      <c r="I544" s="6" t="s">
        <v>94</v>
      </c>
      <c r="J544" s="6" t="b">
        <f>IF(AND(H544&lt;Config!$B$2,I544&lt;&gt;"Approved / IFI"),TRUE,FALSE)</f>
        <v>0</v>
      </c>
      <c r="K544" s="6" t="str">
        <f t="shared" si="8"/>
        <v>Complete</v>
      </c>
    </row>
    <row r="545" spans="1:11" x14ac:dyDescent="0.25">
      <c r="A545" s="6" t="s">
        <v>1167</v>
      </c>
      <c r="B545" s="6" t="s">
        <v>259</v>
      </c>
      <c r="C545" s="6" t="s">
        <v>581</v>
      </c>
      <c r="D545" s="6" t="s">
        <v>54</v>
      </c>
      <c r="E545" s="6" t="s">
        <v>284</v>
      </c>
      <c r="F545" s="6">
        <v>3</v>
      </c>
      <c r="G545" s="11">
        <v>46148.000009837961</v>
      </c>
      <c r="H545" s="11">
        <v>46169.000009837961</v>
      </c>
      <c r="I545" s="6" t="s">
        <v>94</v>
      </c>
      <c r="J545" s="6" t="b">
        <f>IF(AND(H545&lt;Config!$B$2,I545&lt;&gt;"Approved / IFI"),TRUE,FALSE)</f>
        <v>0</v>
      </c>
      <c r="K545" s="6" t="str">
        <f t="shared" si="8"/>
        <v>Complete</v>
      </c>
    </row>
    <row r="546" spans="1:11" x14ac:dyDescent="0.25">
      <c r="A546" s="6" t="s">
        <v>1168</v>
      </c>
      <c r="B546" s="6" t="s">
        <v>259</v>
      </c>
      <c r="C546" s="6" t="s">
        <v>525</v>
      </c>
      <c r="D546" s="6" t="s">
        <v>54</v>
      </c>
      <c r="E546" s="6" t="s">
        <v>284</v>
      </c>
      <c r="F546" s="6">
        <v>2</v>
      </c>
      <c r="G546" s="11">
        <v>46174.000009837961</v>
      </c>
      <c r="H546" s="11">
        <v>46191.000009837961</v>
      </c>
      <c r="I546" s="6" t="s">
        <v>94</v>
      </c>
      <c r="J546" s="6" t="b">
        <f>IF(AND(H546&lt;Config!$B$2,I546&lt;&gt;"Approved / IFI"),TRUE,FALSE)</f>
        <v>0</v>
      </c>
      <c r="K546" s="6" t="str">
        <f t="shared" si="8"/>
        <v>Complete</v>
      </c>
    </row>
    <row r="547" spans="1:11" x14ac:dyDescent="0.25">
      <c r="A547" s="6" t="s">
        <v>1169</v>
      </c>
      <c r="B547" s="6" t="s">
        <v>259</v>
      </c>
      <c r="C547" s="6" t="s">
        <v>684</v>
      </c>
      <c r="D547" s="6" t="s">
        <v>50</v>
      </c>
      <c r="E547" s="6" t="s">
        <v>296</v>
      </c>
      <c r="F547" s="6">
        <v>4</v>
      </c>
      <c r="G547" s="11">
        <v>46023.000009837961</v>
      </c>
      <c r="H547" s="11">
        <v>46057.000009837961</v>
      </c>
      <c r="I547" s="6" t="s">
        <v>94</v>
      </c>
      <c r="J547" s="6" t="b">
        <f>IF(AND(H547&lt;Config!$B$2,I547&lt;&gt;"Approved / IFI"),TRUE,FALSE)</f>
        <v>0</v>
      </c>
      <c r="K547" s="6" t="str">
        <f t="shared" si="8"/>
        <v>Complete</v>
      </c>
    </row>
    <row r="548" spans="1:11" x14ac:dyDescent="0.25">
      <c r="A548" s="6" t="s">
        <v>1170</v>
      </c>
      <c r="B548" s="6" t="s">
        <v>259</v>
      </c>
      <c r="C548" s="6" t="s">
        <v>1171</v>
      </c>
      <c r="D548" s="6" t="s">
        <v>53</v>
      </c>
      <c r="E548" s="6" t="s">
        <v>287</v>
      </c>
      <c r="F548" s="6">
        <v>0</v>
      </c>
      <c r="G548" s="11">
        <v>46120.000009837961</v>
      </c>
      <c r="H548" s="11">
        <v>46158.000009837961</v>
      </c>
      <c r="I548" s="6" t="s">
        <v>94</v>
      </c>
      <c r="J548" s="6" t="b">
        <f>IF(AND(H548&lt;Config!$B$2,I548&lt;&gt;"Approved / IFI"),TRUE,FALSE)</f>
        <v>0</v>
      </c>
      <c r="K548" s="6" t="str">
        <f t="shared" si="8"/>
        <v>Complete</v>
      </c>
    </row>
    <row r="549" spans="1:11" x14ac:dyDescent="0.25">
      <c r="A549" s="6" t="s">
        <v>1172</v>
      </c>
      <c r="B549" s="6" t="s">
        <v>259</v>
      </c>
      <c r="C549" s="6" t="s">
        <v>511</v>
      </c>
      <c r="D549" s="6" t="s">
        <v>54</v>
      </c>
      <c r="E549" s="6" t="s">
        <v>201</v>
      </c>
      <c r="F549" s="6">
        <v>3</v>
      </c>
      <c r="G549" s="11">
        <v>46135.000009837961</v>
      </c>
      <c r="H549" s="11">
        <v>46148.000009837961</v>
      </c>
      <c r="I549" s="6" t="s">
        <v>94</v>
      </c>
      <c r="J549" s="6" t="b">
        <f>IF(AND(H549&lt;Config!$B$2,I549&lt;&gt;"Approved / IFI"),TRUE,FALSE)</f>
        <v>0</v>
      </c>
      <c r="K549" s="6" t="str">
        <f t="shared" si="8"/>
        <v>Complete</v>
      </c>
    </row>
    <row r="550" spans="1:11" x14ac:dyDescent="0.25">
      <c r="A550" s="6" t="s">
        <v>1173</v>
      </c>
      <c r="B550" s="6" t="s">
        <v>259</v>
      </c>
      <c r="C550" s="6" t="s">
        <v>1174</v>
      </c>
      <c r="D550" s="6" t="s">
        <v>55</v>
      </c>
      <c r="E550" s="6" t="s">
        <v>193</v>
      </c>
      <c r="F550" s="6">
        <v>3</v>
      </c>
      <c r="G550" s="11">
        <v>46232.000009837961</v>
      </c>
      <c r="H550" s="11">
        <v>46244.000009837961</v>
      </c>
      <c r="I550" s="6" t="s">
        <v>94</v>
      </c>
      <c r="J550" s="6" t="b">
        <f>IF(AND(H550&lt;Config!$B$2,I550&lt;&gt;"Approved / IFI"),TRUE,FALSE)</f>
        <v>0</v>
      </c>
      <c r="K550" s="6" t="str">
        <f t="shared" si="8"/>
        <v>Complete</v>
      </c>
    </row>
    <row r="551" spans="1:11" x14ac:dyDescent="0.25">
      <c r="A551" s="6" t="s">
        <v>1175</v>
      </c>
      <c r="B551" s="6" t="s">
        <v>259</v>
      </c>
      <c r="C551" s="6" t="s">
        <v>488</v>
      </c>
      <c r="D551" s="6" t="s">
        <v>53</v>
      </c>
      <c r="E551" s="6" t="s">
        <v>156</v>
      </c>
      <c r="F551" s="6">
        <v>0</v>
      </c>
      <c r="G551" s="11">
        <v>46186.000009837961</v>
      </c>
      <c r="H551" s="11">
        <v>46198.000009837961</v>
      </c>
      <c r="I551" s="6" t="s">
        <v>94</v>
      </c>
      <c r="J551" s="6" t="b">
        <f>IF(AND(H551&lt;Config!$B$2,I551&lt;&gt;"Approved / IFI"),TRUE,FALSE)</f>
        <v>0</v>
      </c>
      <c r="K551" s="6" t="str">
        <f t="shared" si="8"/>
        <v>Complete</v>
      </c>
    </row>
    <row r="552" spans="1:11" x14ac:dyDescent="0.25">
      <c r="A552" s="6" t="s">
        <v>1176</v>
      </c>
      <c r="B552" s="6" t="s">
        <v>259</v>
      </c>
      <c r="C552" s="6" t="s">
        <v>694</v>
      </c>
      <c r="D552" s="6" t="s">
        <v>50</v>
      </c>
      <c r="E552" s="6" t="s">
        <v>300</v>
      </c>
      <c r="F552" s="6">
        <v>0</v>
      </c>
      <c r="G552" s="11">
        <v>46154.000009837961</v>
      </c>
      <c r="H552" s="11">
        <v>46184.000009837961</v>
      </c>
      <c r="I552" s="6" t="s">
        <v>94</v>
      </c>
      <c r="J552" s="6" t="b">
        <f>IF(AND(H552&lt;Config!$B$2,I552&lt;&gt;"Approved / IFI"),TRUE,FALSE)</f>
        <v>0</v>
      </c>
      <c r="K552" s="6" t="str">
        <f t="shared" si="8"/>
        <v>Complete</v>
      </c>
    </row>
    <row r="553" spans="1:11" x14ac:dyDescent="0.25">
      <c r="A553" s="6" t="s">
        <v>1177</v>
      </c>
      <c r="B553" s="6" t="s">
        <v>259</v>
      </c>
      <c r="C553" s="6" t="s">
        <v>631</v>
      </c>
      <c r="D553" s="6" t="s">
        <v>50</v>
      </c>
      <c r="E553" s="6" t="s">
        <v>296</v>
      </c>
      <c r="F553" s="6">
        <v>4</v>
      </c>
      <c r="G553" s="11">
        <v>46037.000009837961</v>
      </c>
      <c r="H553" s="11">
        <v>46054.000009837961</v>
      </c>
      <c r="I553" s="6" t="s">
        <v>94</v>
      </c>
      <c r="J553" s="6" t="b">
        <f>IF(AND(H553&lt;Config!$B$2,I553&lt;&gt;"Approved / IFI"),TRUE,FALSE)</f>
        <v>0</v>
      </c>
      <c r="K553" s="6" t="str">
        <f t="shared" si="8"/>
        <v>Complete</v>
      </c>
    </row>
    <row r="554" spans="1:11" x14ac:dyDescent="0.25">
      <c r="A554" s="6" t="s">
        <v>1178</v>
      </c>
      <c r="B554" s="6" t="s">
        <v>259</v>
      </c>
      <c r="C554" s="6" t="s">
        <v>467</v>
      </c>
      <c r="D554" s="6" t="s">
        <v>53</v>
      </c>
      <c r="E554" s="6" t="s">
        <v>156</v>
      </c>
      <c r="F554" s="6">
        <v>2</v>
      </c>
      <c r="G554" s="11">
        <v>46131.000009837961</v>
      </c>
      <c r="H554" s="11">
        <v>46155.000009837961</v>
      </c>
      <c r="I554" s="6" t="s">
        <v>94</v>
      </c>
      <c r="J554" s="6" t="b">
        <f>IF(AND(H554&lt;Config!$B$2,I554&lt;&gt;"Approved / IFI"),TRUE,FALSE)</f>
        <v>0</v>
      </c>
      <c r="K554" s="6" t="str">
        <f t="shared" si="8"/>
        <v>Complete</v>
      </c>
    </row>
    <row r="555" spans="1:11" x14ac:dyDescent="0.25">
      <c r="A555" s="6" t="s">
        <v>1179</v>
      </c>
      <c r="B555" s="6" t="s">
        <v>259</v>
      </c>
      <c r="C555" s="6" t="s">
        <v>694</v>
      </c>
      <c r="D555" s="6" t="s">
        <v>50</v>
      </c>
      <c r="E555" s="6" t="s">
        <v>137</v>
      </c>
      <c r="F555" s="6">
        <v>2</v>
      </c>
      <c r="G555" s="11">
        <v>46071.000009837961</v>
      </c>
      <c r="H555" s="11">
        <v>46106.000009837961</v>
      </c>
      <c r="I555" s="6" t="s">
        <v>94</v>
      </c>
      <c r="J555" s="6" t="b">
        <f>IF(AND(H555&lt;Config!$B$2,I555&lt;&gt;"Approved / IFI"),TRUE,FALSE)</f>
        <v>0</v>
      </c>
      <c r="K555" s="6" t="str">
        <f t="shared" si="8"/>
        <v>Complete</v>
      </c>
    </row>
    <row r="556" spans="1:11" x14ac:dyDescent="0.25">
      <c r="A556" s="6" t="s">
        <v>1180</v>
      </c>
      <c r="B556" s="6" t="s">
        <v>259</v>
      </c>
      <c r="C556" s="6" t="s">
        <v>475</v>
      </c>
      <c r="D556" s="6" t="s">
        <v>52</v>
      </c>
      <c r="E556" s="6" t="s">
        <v>279</v>
      </c>
      <c r="F556" s="6">
        <v>3</v>
      </c>
      <c r="G556" s="11">
        <v>46122.000009837961</v>
      </c>
      <c r="H556" s="11">
        <v>46155.000009837961</v>
      </c>
      <c r="I556" s="6" t="s">
        <v>94</v>
      </c>
      <c r="J556" s="6" t="b">
        <f>IF(AND(H556&lt;Config!$B$2,I556&lt;&gt;"Approved / IFI"),TRUE,FALSE)</f>
        <v>0</v>
      </c>
      <c r="K556" s="6" t="str">
        <f t="shared" si="8"/>
        <v>Complete</v>
      </c>
    </row>
    <row r="557" spans="1:11" x14ac:dyDescent="0.25">
      <c r="A557" s="6" t="s">
        <v>1181</v>
      </c>
      <c r="B557" s="6" t="s">
        <v>259</v>
      </c>
      <c r="C557" s="6" t="s">
        <v>475</v>
      </c>
      <c r="D557" s="6" t="s">
        <v>52</v>
      </c>
      <c r="E557" s="6" t="s">
        <v>302</v>
      </c>
      <c r="F557" s="6">
        <v>0</v>
      </c>
      <c r="G557" s="11">
        <v>46140.000009837961</v>
      </c>
      <c r="H557" s="11">
        <v>46168.000009837961</v>
      </c>
      <c r="I557" s="6" t="s">
        <v>94</v>
      </c>
      <c r="J557" s="6" t="b">
        <f>IF(AND(H557&lt;Config!$B$2,I557&lt;&gt;"Approved / IFI"),TRUE,FALSE)</f>
        <v>0</v>
      </c>
      <c r="K557" s="6" t="str">
        <f t="shared" si="8"/>
        <v>Complete</v>
      </c>
    </row>
    <row r="558" spans="1:11" x14ac:dyDescent="0.25">
      <c r="A558" s="6" t="s">
        <v>1182</v>
      </c>
      <c r="B558" s="6" t="s">
        <v>259</v>
      </c>
      <c r="C558" s="6" t="s">
        <v>482</v>
      </c>
      <c r="D558" s="6" t="s">
        <v>50</v>
      </c>
      <c r="E558" s="6" t="s">
        <v>156</v>
      </c>
      <c r="F558" s="6">
        <v>2</v>
      </c>
      <c r="G558" s="11">
        <v>46164.000009837961</v>
      </c>
      <c r="H558" s="11">
        <v>46184.000009837961</v>
      </c>
      <c r="I558" s="6" t="s">
        <v>94</v>
      </c>
      <c r="J558" s="6" t="b">
        <f>IF(AND(H558&lt;Config!$B$2,I558&lt;&gt;"Approved / IFI"),TRUE,FALSE)</f>
        <v>0</v>
      </c>
      <c r="K558" s="6" t="str">
        <f t="shared" si="8"/>
        <v>Complete</v>
      </c>
    </row>
    <row r="559" spans="1:11" x14ac:dyDescent="0.25">
      <c r="A559" s="6" t="s">
        <v>1183</v>
      </c>
      <c r="B559" s="6" t="s">
        <v>259</v>
      </c>
      <c r="C559" s="6" t="s">
        <v>475</v>
      </c>
      <c r="D559" s="6" t="s">
        <v>52</v>
      </c>
      <c r="E559" s="6" t="s">
        <v>183</v>
      </c>
      <c r="F559" s="6">
        <v>0</v>
      </c>
      <c r="G559" s="11">
        <v>46197.000009837961</v>
      </c>
      <c r="H559" s="11">
        <v>46223.000009837961</v>
      </c>
      <c r="I559" s="6" t="s">
        <v>94</v>
      </c>
      <c r="J559" s="6" t="b">
        <f>IF(AND(H559&lt;Config!$B$2,I559&lt;&gt;"Approved / IFI"),TRUE,FALSE)</f>
        <v>0</v>
      </c>
      <c r="K559" s="6" t="str">
        <f t="shared" si="8"/>
        <v>Complete</v>
      </c>
    </row>
    <row r="560" spans="1:11" x14ac:dyDescent="0.25">
      <c r="A560" s="6" t="s">
        <v>1184</v>
      </c>
      <c r="B560" s="6" t="s">
        <v>259</v>
      </c>
      <c r="C560" s="6" t="s">
        <v>581</v>
      </c>
      <c r="D560" s="6" t="s">
        <v>54</v>
      </c>
      <c r="E560" s="6" t="s">
        <v>321</v>
      </c>
      <c r="F560" s="6">
        <v>2</v>
      </c>
      <c r="G560" s="11">
        <v>46075.000009837961</v>
      </c>
      <c r="H560" s="11">
        <v>46108.000009837961</v>
      </c>
      <c r="I560" s="6" t="s">
        <v>94</v>
      </c>
      <c r="J560" s="6" t="b">
        <f>IF(AND(H560&lt;Config!$B$2,I560&lt;&gt;"Approved / IFI"),TRUE,FALSE)</f>
        <v>0</v>
      </c>
      <c r="K560" s="6" t="str">
        <f t="shared" si="8"/>
        <v>Complete</v>
      </c>
    </row>
    <row r="561" spans="1:11" x14ac:dyDescent="0.25">
      <c r="A561" s="6" t="s">
        <v>1185</v>
      </c>
      <c r="B561" s="6" t="s">
        <v>259</v>
      </c>
      <c r="C561" s="6" t="s">
        <v>529</v>
      </c>
      <c r="D561" s="6" t="s">
        <v>51</v>
      </c>
      <c r="E561" s="6" t="s">
        <v>274</v>
      </c>
      <c r="F561" s="6">
        <v>3</v>
      </c>
      <c r="G561" s="11">
        <v>46203.000009837961</v>
      </c>
      <c r="H561" s="11">
        <v>46226.000009837961</v>
      </c>
      <c r="I561" s="6" t="s">
        <v>94</v>
      </c>
      <c r="J561" s="6" t="b">
        <f>IF(AND(H561&lt;Config!$B$2,I561&lt;&gt;"Approved / IFI"),TRUE,FALSE)</f>
        <v>0</v>
      </c>
      <c r="K561" s="6" t="str">
        <f t="shared" si="8"/>
        <v>Complete</v>
      </c>
    </row>
    <row r="562" spans="1:11" x14ac:dyDescent="0.25">
      <c r="A562" s="6" t="s">
        <v>1186</v>
      </c>
      <c r="B562" s="6" t="s">
        <v>259</v>
      </c>
      <c r="C562" s="6" t="s">
        <v>457</v>
      </c>
      <c r="D562" s="6" t="s">
        <v>52</v>
      </c>
      <c r="E562" s="6" t="s">
        <v>306</v>
      </c>
      <c r="F562" s="6">
        <v>1</v>
      </c>
      <c r="G562" s="11">
        <v>46197.000009837961</v>
      </c>
      <c r="H562" s="11">
        <v>46222.000009837961</v>
      </c>
      <c r="I562" s="6" t="s">
        <v>94</v>
      </c>
      <c r="J562" s="6" t="b">
        <f>IF(AND(H562&lt;Config!$B$2,I562&lt;&gt;"Approved / IFI"),TRUE,FALSE)</f>
        <v>0</v>
      </c>
      <c r="K562" s="6" t="str">
        <f t="shared" si="8"/>
        <v>Complete</v>
      </c>
    </row>
    <row r="563" spans="1:11" x14ac:dyDescent="0.25">
      <c r="A563" s="6" t="s">
        <v>1187</v>
      </c>
      <c r="B563" s="6" t="s">
        <v>259</v>
      </c>
      <c r="C563" s="6" t="s">
        <v>457</v>
      </c>
      <c r="D563" s="6" t="s">
        <v>52</v>
      </c>
      <c r="E563" s="6" t="s">
        <v>306</v>
      </c>
      <c r="F563" s="6">
        <v>3</v>
      </c>
      <c r="G563" s="11">
        <v>46234.000009837961</v>
      </c>
      <c r="H563" s="11">
        <v>46256.000009837961</v>
      </c>
      <c r="I563" s="6" t="s">
        <v>90</v>
      </c>
      <c r="J563" s="6" t="b">
        <f>IF(AND(H563&lt;Config!$B$2,I563&lt;&gt;"Approved / IFI"),TRUE,FALSE)</f>
        <v>0</v>
      </c>
      <c r="K563" s="6" t="str">
        <f t="shared" si="8"/>
        <v>In Progress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7239-187A-415B-8A3D-3DE5287BB724}">
  <dimension ref="A1:M35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8.26953125" style="6" customWidth="1"/>
    <col min="2" max="2" width="10.6328125" style="6" customWidth="1"/>
    <col min="3" max="3" width="63.90625" style="6" bestFit="1" customWidth="1"/>
    <col min="4" max="4" width="13.54296875" style="6" bestFit="1" customWidth="1"/>
    <col min="5" max="5" width="11.6328125" style="6" customWidth="1"/>
    <col min="6" max="6" width="8.54296875" style="6" customWidth="1"/>
    <col min="7" max="7" width="7.81640625" style="6" customWidth="1"/>
    <col min="8" max="8" width="11.08984375" style="6" customWidth="1"/>
    <col min="9" max="9" width="18.36328125" style="6" bestFit="1" customWidth="1"/>
    <col min="10" max="10" width="24.54296875" style="6" bestFit="1" customWidth="1"/>
    <col min="11" max="11" width="8.36328125" style="6" customWidth="1"/>
    <col min="12" max="12" width="12.54296875" style="6" customWidth="1"/>
    <col min="13" max="13" width="17.1796875" style="6" customWidth="1"/>
    <col min="14" max="16384" width="8.7265625" style="6"/>
  </cols>
  <sheetData>
    <row r="1" spans="1:13" ht="18" customHeight="1" x14ac:dyDescent="0.3">
      <c r="A1" s="10" t="s">
        <v>1188</v>
      </c>
      <c r="B1" s="10" t="s">
        <v>105</v>
      </c>
      <c r="C1" s="10" t="s">
        <v>1189</v>
      </c>
      <c r="D1" s="10" t="s">
        <v>1190</v>
      </c>
      <c r="E1" s="10" t="s">
        <v>1191</v>
      </c>
      <c r="F1" s="10" t="s">
        <v>1192</v>
      </c>
      <c r="G1" s="10" t="s">
        <v>1193</v>
      </c>
      <c r="H1" s="10" t="s">
        <v>1194</v>
      </c>
      <c r="I1" s="10" t="s">
        <v>1195</v>
      </c>
      <c r="J1" s="10" t="s">
        <v>1196</v>
      </c>
      <c r="K1" s="10" t="s">
        <v>1197</v>
      </c>
      <c r="L1" s="10" t="s">
        <v>1198</v>
      </c>
      <c r="M1" s="10" t="s">
        <v>1199</v>
      </c>
    </row>
    <row r="2" spans="1:13" x14ac:dyDescent="0.25">
      <c r="A2" s="6" t="s">
        <v>1200</v>
      </c>
      <c r="B2" s="6" t="s">
        <v>133</v>
      </c>
      <c r="C2" s="6" t="s">
        <v>1201</v>
      </c>
      <c r="D2" s="6" t="s">
        <v>96</v>
      </c>
      <c r="E2" s="6">
        <v>4</v>
      </c>
      <c r="F2" s="6">
        <v>4</v>
      </c>
      <c r="G2" s="6">
        <f t="shared" ref="G2:G35" si="0">E2*F2</f>
        <v>16</v>
      </c>
      <c r="H2" s="6" t="str">
        <f t="shared" ref="H2:H35" si="1">IF(G2&gt;=15,"High",IF(G2&gt;=8,"Medium","Low"))</f>
        <v>High</v>
      </c>
      <c r="I2" s="6" t="s">
        <v>1202</v>
      </c>
      <c r="J2" s="6" t="s">
        <v>1203</v>
      </c>
      <c r="K2" s="6" t="s">
        <v>1204</v>
      </c>
      <c r="L2" s="11">
        <v>46231.000009837961</v>
      </c>
      <c r="M2" s="11">
        <v>46270.000009837961</v>
      </c>
    </row>
    <row r="3" spans="1:13" x14ac:dyDescent="0.25">
      <c r="A3" s="6" t="s">
        <v>1205</v>
      </c>
      <c r="B3" s="6" t="s">
        <v>133</v>
      </c>
      <c r="C3" s="6" t="s">
        <v>1206</v>
      </c>
      <c r="D3" s="6" t="s">
        <v>1207</v>
      </c>
      <c r="E3" s="6">
        <v>5</v>
      </c>
      <c r="F3" s="6">
        <v>3</v>
      </c>
      <c r="G3" s="6">
        <f t="shared" si="0"/>
        <v>15</v>
      </c>
      <c r="H3" s="6" t="str">
        <f t="shared" si="1"/>
        <v>High</v>
      </c>
      <c r="I3" s="6" t="s">
        <v>1208</v>
      </c>
      <c r="J3" s="6" t="s">
        <v>1209</v>
      </c>
      <c r="K3" s="6" t="s">
        <v>1204</v>
      </c>
      <c r="L3" s="11">
        <v>46224.000009837961</v>
      </c>
      <c r="M3" s="11">
        <v>46290.000009837961</v>
      </c>
    </row>
    <row r="4" spans="1:13" x14ac:dyDescent="0.25">
      <c r="A4" s="6" t="s">
        <v>1210</v>
      </c>
      <c r="B4" s="6" t="s">
        <v>140</v>
      </c>
      <c r="C4" s="6" t="s">
        <v>1211</v>
      </c>
      <c r="D4" s="6" t="s">
        <v>98</v>
      </c>
      <c r="E4" s="6">
        <v>4</v>
      </c>
      <c r="F4" s="6">
        <v>3</v>
      </c>
      <c r="G4" s="6">
        <f t="shared" si="0"/>
        <v>12</v>
      </c>
      <c r="H4" s="6" t="str">
        <f t="shared" si="1"/>
        <v>Medium</v>
      </c>
      <c r="I4" s="6" t="s">
        <v>1212</v>
      </c>
      <c r="J4" s="6" t="s">
        <v>1213</v>
      </c>
      <c r="K4" s="6" t="s">
        <v>1204</v>
      </c>
      <c r="L4" s="11">
        <v>46237.000009837961</v>
      </c>
      <c r="M4" s="11">
        <v>46320.000009837961</v>
      </c>
    </row>
    <row r="5" spans="1:13" x14ac:dyDescent="0.25">
      <c r="A5" s="6" t="s">
        <v>1214</v>
      </c>
      <c r="B5" s="6" t="s">
        <v>241</v>
      </c>
      <c r="C5" s="6" t="s">
        <v>1215</v>
      </c>
      <c r="D5" s="6" t="s">
        <v>96</v>
      </c>
      <c r="E5" s="6">
        <v>4</v>
      </c>
      <c r="F5" s="6">
        <v>2</v>
      </c>
      <c r="G5" s="6">
        <f t="shared" si="0"/>
        <v>8</v>
      </c>
      <c r="H5" s="6" t="str">
        <f t="shared" si="1"/>
        <v>Medium</v>
      </c>
      <c r="I5" s="6" t="s">
        <v>1212</v>
      </c>
      <c r="J5" s="6" t="s">
        <v>1216</v>
      </c>
      <c r="K5" s="6" t="s">
        <v>1204</v>
      </c>
      <c r="L5" s="11">
        <v>46218.000009837961</v>
      </c>
      <c r="M5" s="11">
        <v>46246.000009837961</v>
      </c>
    </row>
    <row r="6" spans="1:13" x14ac:dyDescent="0.25">
      <c r="A6" s="6" t="s">
        <v>1217</v>
      </c>
      <c r="B6" s="6" t="s">
        <v>133</v>
      </c>
      <c r="C6" s="6" t="s">
        <v>1218</v>
      </c>
      <c r="D6" s="6" t="s">
        <v>101</v>
      </c>
      <c r="E6" s="6">
        <v>5</v>
      </c>
      <c r="F6" s="6">
        <v>5</v>
      </c>
      <c r="G6" s="6">
        <f t="shared" si="0"/>
        <v>25</v>
      </c>
      <c r="H6" s="6" t="str">
        <f t="shared" si="1"/>
        <v>High</v>
      </c>
      <c r="I6" s="6" t="s">
        <v>1219</v>
      </c>
      <c r="J6" s="6" t="s">
        <v>1216</v>
      </c>
      <c r="K6" s="6" t="s">
        <v>1204</v>
      </c>
      <c r="L6" s="11">
        <v>46244.000009837961</v>
      </c>
      <c r="M6" s="11">
        <v>46288.000009837961</v>
      </c>
    </row>
    <row r="7" spans="1:13" x14ac:dyDescent="0.25">
      <c r="A7" s="6" t="s">
        <v>1220</v>
      </c>
      <c r="B7" s="6" t="s">
        <v>224</v>
      </c>
      <c r="C7" s="6" t="s">
        <v>1221</v>
      </c>
      <c r="D7" s="6" t="s">
        <v>101</v>
      </c>
      <c r="E7" s="6">
        <v>2</v>
      </c>
      <c r="F7" s="6">
        <v>3</v>
      </c>
      <c r="G7" s="6">
        <f t="shared" si="0"/>
        <v>6</v>
      </c>
      <c r="H7" s="6" t="str">
        <f t="shared" si="1"/>
        <v>Low</v>
      </c>
      <c r="I7" s="6" t="s">
        <v>412</v>
      </c>
      <c r="J7" s="6" t="s">
        <v>1216</v>
      </c>
      <c r="K7" s="6" t="s">
        <v>1204</v>
      </c>
      <c r="L7" s="11">
        <v>46211.000009837961</v>
      </c>
      <c r="M7" s="11">
        <v>46294.000009837961</v>
      </c>
    </row>
    <row r="8" spans="1:13" x14ac:dyDescent="0.25">
      <c r="A8" s="6" t="s">
        <v>1222</v>
      </c>
      <c r="B8" s="6" t="s">
        <v>133</v>
      </c>
      <c r="C8" s="6" t="s">
        <v>1223</v>
      </c>
      <c r="D8" s="6" t="s">
        <v>98</v>
      </c>
      <c r="E8" s="6">
        <v>3</v>
      </c>
      <c r="F8" s="6">
        <v>3</v>
      </c>
      <c r="G8" s="6">
        <f t="shared" si="0"/>
        <v>9</v>
      </c>
      <c r="H8" s="6" t="str">
        <f t="shared" si="1"/>
        <v>Medium</v>
      </c>
      <c r="I8" s="6" t="s">
        <v>1219</v>
      </c>
      <c r="J8" s="6" t="s">
        <v>1216</v>
      </c>
      <c r="K8" s="6" t="s">
        <v>1204</v>
      </c>
      <c r="L8" s="11">
        <v>46219.000009837961</v>
      </c>
      <c r="M8" s="11">
        <v>46258.000009837961</v>
      </c>
    </row>
    <row r="9" spans="1:13" x14ac:dyDescent="0.25">
      <c r="A9" s="6" t="s">
        <v>1224</v>
      </c>
      <c r="B9" s="6" t="s">
        <v>185</v>
      </c>
      <c r="C9" s="6" t="s">
        <v>1225</v>
      </c>
      <c r="D9" s="6" t="s">
        <v>97</v>
      </c>
      <c r="E9" s="6">
        <v>5</v>
      </c>
      <c r="F9" s="6">
        <v>3</v>
      </c>
      <c r="G9" s="6">
        <f t="shared" si="0"/>
        <v>15</v>
      </c>
      <c r="H9" s="6" t="str">
        <f t="shared" si="1"/>
        <v>High</v>
      </c>
      <c r="I9" s="6" t="s">
        <v>412</v>
      </c>
      <c r="J9" s="6" t="s">
        <v>1216</v>
      </c>
      <c r="K9" s="6" t="s">
        <v>1204</v>
      </c>
      <c r="L9" s="11">
        <v>46237.000009837961</v>
      </c>
      <c r="M9" s="11">
        <v>46270.000009837961</v>
      </c>
    </row>
    <row r="10" spans="1:13" x14ac:dyDescent="0.25">
      <c r="A10" s="6" t="s">
        <v>1226</v>
      </c>
      <c r="B10" s="6" t="s">
        <v>211</v>
      </c>
      <c r="C10" s="6" t="s">
        <v>1227</v>
      </c>
      <c r="D10" s="6" t="s">
        <v>99</v>
      </c>
      <c r="E10" s="6">
        <v>2</v>
      </c>
      <c r="F10" s="6">
        <v>3</v>
      </c>
      <c r="G10" s="6">
        <f t="shared" si="0"/>
        <v>6</v>
      </c>
      <c r="H10" s="6" t="str">
        <f t="shared" si="1"/>
        <v>Low</v>
      </c>
      <c r="I10" s="6" t="s">
        <v>412</v>
      </c>
      <c r="J10" s="6" t="s">
        <v>1216</v>
      </c>
      <c r="K10" s="6" t="s">
        <v>1204</v>
      </c>
      <c r="L10" s="11">
        <v>46209.000009837961</v>
      </c>
      <c r="M10" s="11">
        <v>46287.000009837961</v>
      </c>
    </row>
    <row r="11" spans="1:13" x14ac:dyDescent="0.25">
      <c r="A11" s="6" t="s">
        <v>1228</v>
      </c>
      <c r="B11" s="6" t="s">
        <v>228</v>
      </c>
      <c r="C11" s="6" t="s">
        <v>1229</v>
      </c>
      <c r="D11" s="6" t="s">
        <v>99</v>
      </c>
      <c r="E11" s="6">
        <v>3</v>
      </c>
      <c r="F11" s="6">
        <v>3</v>
      </c>
      <c r="G11" s="6">
        <f t="shared" si="0"/>
        <v>9</v>
      </c>
      <c r="H11" s="6" t="str">
        <f t="shared" si="1"/>
        <v>Medium</v>
      </c>
      <c r="I11" s="6" t="s">
        <v>1202</v>
      </c>
      <c r="J11" s="6" t="s">
        <v>1216</v>
      </c>
      <c r="K11" s="6" t="s">
        <v>1204</v>
      </c>
      <c r="L11" s="11">
        <v>46232.000009837961</v>
      </c>
      <c r="M11" s="11">
        <v>46283.000009837961</v>
      </c>
    </row>
    <row r="12" spans="1:13" x14ac:dyDescent="0.25">
      <c r="A12" s="6" t="s">
        <v>1230</v>
      </c>
      <c r="B12" s="6" t="s">
        <v>199</v>
      </c>
      <c r="C12" s="6" t="s">
        <v>1231</v>
      </c>
      <c r="D12" s="6" t="s">
        <v>100</v>
      </c>
      <c r="E12" s="6">
        <v>4</v>
      </c>
      <c r="F12" s="6">
        <v>4</v>
      </c>
      <c r="G12" s="6">
        <f t="shared" si="0"/>
        <v>16</v>
      </c>
      <c r="H12" s="6" t="str">
        <f t="shared" si="1"/>
        <v>High</v>
      </c>
      <c r="I12" s="6" t="s">
        <v>1212</v>
      </c>
      <c r="J12" s="6" t="s">
        <v>1216</v>
      </c>
      <c r="K12" s="6" t="s">
        <v>1204</v>
      </c>
      <c r="L12" s="11">
        <v>46197.000009837961</v>
      </c>
      <c r="M12" s="11">
        <v>46256.000009837961</v>
      </c>
    </row>
    <row r="13" spans="1:13" x14ac:dyDescent="0.25">
      <c r="A13" s="6" t="s">
        <v>1232</v>
      </c>
      <c r="B13" s="6" t="s">
        <v>238</v>
      </c>
      <c r="C13" s="6" t="s">
        <v>1218</v>
      </c>
      <c r="D13" s="6" t="s">
        <v>97</v>
      </c>
      <c r="E13" s="6">
        <v>5</v>
      </c>
      <c r="F13" s="6">
        <v>5</v>
      </c>
      <c r="G13" s="6">
        <f t="shared" si="0"/>
        <v>25</v>
      </c>
      <c r="H13" s="6" t="str">
        <f t="shared" si="1"/>
        <v>High</v>
      </c>
      <c r="I13" s="6" t="s">
        <v>1212</v>
      </c>
      <c r="J13" s="6" t="s">
        <v>1216</v>
      </c>
      <c r="K13" s="6" t="s">
        <v>1204</v>
      </c>
      <c r="L13" s="11">
        <v>46236.000009837961</v>
      </c>
      <c r="M13" s="11">
        <v>46287.000009837961</v>
      </c>
    </row>
    <row r="14" spans="1:13" x14ac:dyDescent="0.25">
      <c r="A14" s="6" t="s">
        <v>1233</v>
      </c>
      <c r="B14" s="6" t="s">
        <v>199</v>
      </c>
      <c r="C14" s="6" t="s">
        <v>1234</v>
      </c>
      <c r="D14" s="6" t="s">
        <v>97</v>
      </c>
      <c r="E14" s="6">
        <v>3</v>
      </c>
      <c r="F14" s="6">
        <v>2</v>
      </c>
      <c r="G14" s="6">
        <f t="shared" si="0"/>
        <v>6</v>
      </c>
      <c r="H14" s="6" t="str">
        <f t="shared" si="1"/>
        <v>Low</v>
      </c>
      <c r="I14" s="6" t="s">
        <v>1219</v>
      </c>
      <c r="J14" s="6" t="s">
        <v>1216</v>
      </c>
      <c r="K14" s="6" t="s">
        <v>1204</v>
      </c>
      <c r="L14" s="11">
        <v>46192.000009837961</v>
      </c>
      <c r="M14" s="11">
        <v>46279.000009837961</v>
      </c>
    </row>
    <row r="15" spans="1:13" x14ac:dyDescent="0.25">
      <c r="A15" s="6" t="s">
        <v>1235</v>
      </c>
      <c r="B15" s="6" t="s">
        <v>179</v>
      </c>
      <c r="C15" s="6" t="s">
        <v>1236</v>
      </c>
      <c r="D15" s="6" t="s">
        <v>96</v>
      </c>
      <c r="E15" s="6">
        <v>5</v>
      </c>
      <c r="F15" s="6">
        <v>3</v>
      </c>
      <c r="G15" s="6">
        <f t="shared" si="0"/>
        <v>15</v>
      </c>
      <c r="H15" s="6" t="str">
        <f t="shared" si="1"/>
        <v>High</v>
      </c>
      <c r="I15" s="6" t="s">
        <v>412</v>
      </c>
      <c r="J15" s="6" t="s">
        <v>1216</v>
      </c>
      <c r="K15" s="6" t="s">
        <v>1204</v>
      </c>
      <c r="L15" s="11">
        <v>46193.000009837961</v>
      </c>
      <c r="M15" s="11">
        <v>46265.000009837961</v>
      </c>
    </row>
    <row r="16" spans="1:13" x14ac:dyDescent="0.25">
      <c r="A16" s="6" t="s">
        <v>1237</v>
      </c>
      <c r="B16" s="6" t="s">
        <v>146</v>
      </c>
      <c r="C16" s="6" t="s">
        <v>1227</v>
      </c>
      <c r="D16" s="6" t="s">
        <v>98</v>
      </c>
      <c r="E16" s="6">
        <v>3</v>
      </c>
      <c r="F16" s="6">
        <v>3</v>
      </c>
      <c r="G16" s="6">
        <f t="shared" si="0"/>
        <v>9</v>
      </c>
      <c r="H16" s="6" t="str">
        <f t="shared" si="1"/>
        <v>Medium</v>
      </c>
      <c r="I16" s="6" t="s">
        <v>431</v>
      </c>
      <c r="J16" s="6" t="s">
        <v>1216</v>
      </c>
      <c r="K16" s="6" t="s">
        <v>1204</v>
      </c>
      <c r="L16" s="11">
        <v>46235.000009837961</v>
      </c>
      <c r="M16" s="11">
        <v>46309.000009837961</v>
      </c>
    </row>
    <row r="17" spans="1:13" x14ac:dyDescent="0.25">
      <c r="A17" s="6" t="s">
        <v>1238</v>
      </c>
      <c r="B17" s="6" t="s">
        <v>199</v>
      </c>
      <c r="C17" s="6" t="s">
        <v>1215</v>
      </c>
      <c r="D17" s="6" t="s">
        <v>99</v>
      </c>
      <c r="E17" s="6">
        <v>3</v>
      </c>
      <c r="F17" s="6">
        <v>2</v>
      </c>
      <c r="G17" s="6">
        <f t="shared" si="0"/>
        <v>6</v>
      </c>
      <c r="H17" s="6" t="str">
        <f t="shared" si="1"/>
        <v>Low</v>
      </c>
      <c r="I17" s="6" t="s">
        <v>431</v>
      </c>
      <c r="J17" s="6" t="s">
        <v>1216</v>
      </c>
      <c r="K17" s="6" t="s">
        <v>1204</v>
      </c>
      <c r="L17" s="11">
        <v>46205.000009837961</v>
      </c>
      <c r="M17" s="11">
        <v>46270.000009837961</v>
      </c>
    </row>
    <row r="18" spans="1:13" x14ac:dyDescent="0.25">
      <c r="A18" s="6" t="s">
        <v>1239</v>
      </c>
      <c r="B18" s="6" t="s">
        <v>228</v>
      </c>
      <c r="C18" s="6" t="s">
        <v>1227</v>
      </c>
      <c r="D18" s="6" t="s">
        <v>100</v>
      </c>
      <c r="E18" s="6">
        <v>2</v>
      </c>
      <c r="F18" s="6">
        <v>2</v>
      </c>
      <c r="G18" s="6">
        <f t="shared" si="0"/>
        <v>4</v>
      </c>
      <c r="H18" s="6" t="str">
        <f t="shared" si="1"/>
        <v>Low</v>
      </c>
      <c r="I18" s="6" t="s">
        <v>431</v>
      </c>
      <c r="J18" s="6" t="s">
        <v>1216</v>
      </c>
      <c r="K18" s="6" t="s">
        <v>1204</v>
      </c>
      <c r="L18" s="11">
        <v>46223.000009837961</v>
      </c>
      <c r="M18" s="11">
        <v>46260.000009837961</v>
      </c>
    </row>
    <row r="19" spans="1:13" x14ac:dyDescent="0.25">
      <c r="A19" s="6" t="s">
        <v>1240</v>
      </c>
      <c r="B19" s="6" t="s">
        <v>228</v>
      </c>
      <c r="C19" s="6" t="s">
        <v>1241</v>
      </c>
      <c r="D19" s="6" t="s">
        <v>98</v>
      </c>
      <c r="E19" s="6">
        <v>3</v>
      </c>
      <c r="F19" s="6">
        <v>2</v>
      </c>
      <c r="G19" s="6">
        <f t="shared" si="0"/>
        <v>6</v>
      </c>
      <c r="H19" s="6" t="str">
        <f t="shared" si="1"/>
        <v>Low</v>
      </c>
      <c r="I19" s="6" t="s">
        <v>431</v>
      </c>
      <c r="J19" s="6" t="s">
        <v>1216</v>
      </c>
      <c r="K19" s="6" t="s">
        <v>1204</v>
      </c>
      <c r="L19" s="11">
        <v>46202.000009837961</v>
      </c>
      <c r="M19" s="11">
        <v>46229.000009837961</v>
      </c>
    </row>
    <row r="20" spans="1:13" x14ac:dyDescent="0.25">
      <c r="A20" s="6" t="s">
        <v>1242</v>
      </c>
      <c r="B20" s="6" t="s">
        <v>217</v>
      </c>
      <c r="C20" s="6" t="s">
        <v>1243</v>
      </c>
      <c r="D20" s="6" t="s">
        <v>100</v>
      </c>
      <c r="E20" s="6">
        <v>2</v>
      </c>
      <c r="F20" s="6">
        <v>3</v>
      </c>
      <c r="G20" s="6">
        <f t="shared" si="0"/>
        <v>6</v>
      </c>
      <c r="H20" s="6" t="str">
        <f t="shared" si="1"/>
        <v>Low</v>
      </c>
      <c r="I20" s="6" t="s">
        <v>1219</v>
      </c>
      <c r="J20" s="6" t="s">
        <v>1216</v>
      </c>
      <c r="K20" s="6" t="s">
        <v>1204</v>
      </c>
      <c r="L20" s="11">
        <v>46199.000009837961</v>
      </c>
      <c r="M20" s="11">
        <v>46224.000009837961</v>
      </c>
    </row>
    <row r="21" spans="1:13" x14ac:dyDescent="0.25">
      <c r="A21" s="6" t="s">
        <v>1244</v>
      </c>
      <c r="B21" s="6" t="s">
        <v>152</v>
      </c>
      <c r="C21" s="6" t="s">
        <v>1236</v>
      </c>
      <c r="D21" s="6" t="s">
        <v>101</v>
      </c>
      <c r="E21" s="6">
        <v>3</v>
      </c>
      <c r="F21" s="6">
        <v>3</v>
      </c>
      <c r="G21" s="6">
        <f t="shared" si="0"/>
        <v>9</v>
      </c>
      <c r="H21" s="6" t="str">
        <f t="shared" si="1"/>
        <v>Medium</v>
      </c>
      <c r="I21" s="6" t="s">
        <v>1212</v>
      </c>
      <c r="J21" s="6" t="s">
        <v>1216</v>
      </c>
      <c r="K21" s="6" t="s">
        <v>1204</v>
      </c>
      <c r="L21" s="11">
        <v>46193.000009837961</v>
      </c>
      <c r="M21" s="11">
        <v>46241.000009837961</v>
      </c>
    </row>
    <row r="22" spans="1:13" x14ac:dyDescent="0.25">
      <c r="A22" s="6" t="s">
        <v>1245</v>
      </c>
      <c r="B22" s="6" t="s">
        <v>224</v>
      </c>
      <c r="C22" s="6" t="s">
        <v>1236</v>
      </c>
      <c r="D22" s="6" t="s">
        <v>99</v>
      </c>
      <c r="E22" s="6">
        <v>3</v>
      </c>
      <c r="F22" s="6">
        <v>3</v>
      </c>
      <c r="G22" s="6">
        <f t="shared" si="0"/>
        <v>9</v>
      </c>
      <c r="H22" s="6" t="str">
        <f t="shared" si="1"/>
        <v>Medium</v>
      </c>
      <c r="I22" s="6" t="s">
        <v>1212</v>
      </c>
      <c r="J22" s="6" t="s">
        <v>1216</v>
      </c>
      <c r="K22" s="6" t="s">
        <v>1204</v>
      </c>
      <c r="L22" s="11">
        <v>46222.000009837961</v>
      </c>
      <c r="M22" s="11">
        <v>46309.000009837961</v>
      </c>
    </row>
    <row r="23" spans="1:13" x14ac:dyDescent="0.25">
      <c r="A23" s="6" t="s">
        <v>1246</v>
      </c>
      <c r="B23" s="6" t="s">
        <v>235</v>
      </c>
      <c r="C23" s="6" t="s">
        <v>1231</v>
      </c>
      <c r="D23" s="6" t="s">
        <v>96</v>
      </c>
      <c r="E23" s="6">
        <v>2</v>
      </c>
      <c r="F23" s="6">
        <v>5</v>
      </c>
      <c r="G23" s="6">
        <f t="shared" si="0"/>
        <v>10</v>
      </c>
      <c r="H23" s="6" t="str">
        <f t="shared" si="1"/>
        <v>Medium</v>
      </c>
      <c r="I23" s="6" t="s">
        <v>1202</v>
      </c>
      <c r="J23" s="6" t="s">
        <v>1216</v>
      </c>
      <c r="K23" s="6" t="s">
        <v>1204</v>
      </c>
      <c r="L23" s="11">
        <v>46208.000009837961</v>
      </c>
      <c r="M23" s="11">
        <v>46232.000009837961</v>
      </c>
    </row>
    <row r="24" spans="1:13" x14ac:dyDescent="0.25">
      <c r="A24" s="6" t="s">
        <v>1247</v>
      </c>
      <c r="B24" s="6" t="s">
        <v>224</v>
      </c>
      <c r="C24" s="6" t="s">
        <v>1236</v>
      </c>
      <c r="D24" s="6" t="s">
        <v>100</v>
      </c>
      <c r="E24" s="6">
        <v>2</v>
      </c>
      <c r="F24" s="6">
        <v>2</v>
      </c>
      <c r="G24" s="6">
        <f t="shared" si="0"/>
        <v>4</v>
      </c>
      <c r="H24" s="6" t="str">
        <f t="shared" si="1"/>
        <v>Low</v>
      </c>
      <c r="I24" s="6" t="s">
        <v>431</v>
      </c>
      <c r="J24" s="6" t="s">
        <v>1216</v>
      </c>
      <c r="K24" s="6" t="s">
        <v>1204</v>
      </c>
      <c r="L24" s="11">
        <v>46235.000009837961</v>
      </c>
      <c r="M24" s="11">
        <v>46284.000009837961</v>
      </c>
    </row>
    <row r="25" spans="1:13" x14ac:dyDescent="0.25">
      <c r="A25" s="6" t="s">
        <v>1248</v>
      </c>
      <c r="B25" s="6" t="s">
        <v>146</v>
      </c>
      <c r="C25" s="6" t="s">
        <v>1227</v>
      </c>
      <c r="D25" s="6" t="s">
        <v>100</v>
      </c>
      <c r="E25" s="6">
        <v>3</v>
      </c>
      <c r="F25" s="6">
        <v>4</v>
      </c>
      <c r="G25" s="6">
        <f t="shared" si="0"/>
        <v>12</v>
      </c>
      <c r="H25" s="6" t="str">
        <f t="shared" si="1"/>
        <v>Medium</v>
      </c>
      <c r="I25" s="6" t="s">
        <v>412</v>
      </c>
      <c r="J25" s="6" t="s">
        <v>1216</v>
      </c>
      <c r="K25" s="6" t="s">
        <v>1204</v>
      </c>
      <c r="L25" s="11">
        <v>46224.000009837961</v>
      </c>
      <c r="M25" s="11">
        <v>46303.000009837961</v>
      </c>
    </row>
    <row r="26" spans="1:13" x14ac:dyDescent="0.25">
      <c r="A26" s="6" t="s">
        <v>1249</v>
      </c>
      <c r="B26" s="6" t="s">
        <v>231</v>
      </c>
      <c r="C26" s="6" t="s">
        <v>1215</v>
      </c>
      <c r="D26" s="6" t="s">
        <v>101</v>
      </c>
      <c r="E26" s="6">
        <v>5</v>
      </c>
      <c r="F26" s="6">
        <v>2</v>
      </c>
      <c r="G26" s="6">
        <f t="shared" si="0"/>
        <v>10</v>
      </c>
      <c r="H26" s="6" t="str">
        <f t="shared" si="1"/>
        <v>Medium</v>
      </c>
      <c r="I26" s="6" t="s">
        <v>412</v>
      </c>
      <c r="J26" s="6" t="s">
        <v>1216</v>
      </c>
      <c r="K26" s="6" t="s">
        <v>1204</v>
      </c>
      <c r="L26" s="11">
        <v>46194.000009837961</v>
      </c>
      <c r="M26" s="11">
        <v>46219.000009837961</v>
      </c>
    </row>
    <row r="27" spans="1:13" x14ac:dyDescent="0.25">
      <c r="A27" s="6" t="s">
        <v>1250</v>
      </c>
      <c r="B27" s="6" t="s">
        <v>195</v>
      </c>
      <c r="C27" s="6" t="s">
        <v>1221</v>
      </c>
      <c r="D27" s="6" t="s">
        <v>100</v>
      </c>
      <c r="E27" s="6">
        <v>2</v>
      </c>
      <c r="F27" s="6">
        <v>3</v>
      </c>
      <c r="G27" s="6">
        <f t="shared" si="0"/>
        <v>6</v>
      </c>
      <c r="H27" s="6" t="str">
        <f t="shared" si="1"/>
        <v>Low</v>
      </c>
      <c r="I27" s="6" t="s">
        <v>1219</v>
      </c>
      <c r="J27" s="6" t="s">
        <v>1216</v>
      </c>
      <c r="K27" s="6" t="s">
        <v>1204</v>
      </c>
      <c r="L27" s="11">
        <v>46201.000009837961</v>
      </c>
      <c r="M27" s="11">
        <v>46269.000009837961</v>
      </c>
    </row>
    <row r="28" spans="1:13" x14ac:dyDescent="0.25">
      <c r="A28" s="6" t="s">
        <v>1251</v>
      </c>
      <c r="B28" s="6" t="s">
        <v>199</v>
      </c>
      <c r="C28" s="6" t="s">
        <v>1223</v>
      </c>
      <c r="D28" s="6" t="s">
        <v>97</v>
      </c>
      <c r="E28" s="6">
        <v>3</v>
      </c>
      <c r="F28" s="6">
        <v>2</v>
      </c>
      <c r="G28" s="6">
        <f t="shared" si="0"/>
        <v>6</v>
      </c>
      <c r="H28" s="6" t="str">
        <f t="shared" si="1"/>
        <v>Low</v>
      </c>
      <c r="I28" s="6" t="s">
        <v>1212</v>
      </c>
      <c r="J28" s="6" t="s">
        <v>1216</v>
      </c>
      <c r="K28" s="6" t="s">
        <v>1204</v>
      </c>
      <c r="L28" s="11">
        <v>46194.000009837961</v>
      </c>
      <c r="M28" s="11">
        <v>46269.000009837961</v>
      </c>
    </row>
    <row r="29" spans="1:13" x14ac:dyDescent="0.25">
      <c r="A29" s="6" t="s">
        <v>1252</v>
      </c>
      <c r="B29" s="6" t="s">
        <v>211</v>
      </c>
      <c r="C29" s="6" t="s">
        <v>1225</v>
      </c>
      <c r="D29" s="6" t="s">
        <v>96</v>
      </c>
      <c r="E29" s="6">
        <v>2</v>
      </c>
      <c r="F29" s="6">
        <v>5</v>
      </c>
      <c r="G29" s="6">
        <f t="shared" si="0"/>
        <v>10</v>
      </c>
      <c r="H29" s="6" t="str">
        <f t="shared" si="1"/>
        <v>Medium</v>
      </c>
      <c r="I29" s="6" t="s">
        <v>1219</v>
      </c>
      <c r="J29" s="6" t="s">
        <v>1216</v>
      </c>
      <c r="K29" s="6" t="s">
        <v>1204</v>
      </c>
      <c r="L29" s="11">
        <v>46248.000009837961</v>
      </c>
      <c r="M29" s="11">
        <v>46312.000009837961</v>
      </c>
    </row>
    <row r="30" spans="1:13" x14ac:dyDescent="0.25">
      <c r="A30" s="6" t="s">
        <v>1253</v>
      </c>
      <c r="B30" s="6" t="s">
        <v>164</v>
      </c>
      <c r="C30" s="6" t="s">
        <v>1215</v>
      </c>
      <c r="D30" s="6" t="s">
        <v>100</v>
      </c>
      <c r="E30" s="6">
        <v>3</v>
      </c>
      <c r="F30" s="6">
        <v>2</v>
      </c>
      <c r="G30" s="6">
        <f t="shared" si="0"/>
        <v>6</v>
      </c>
      <c r="H30" s="6" t="str">
        <f t="shared" si="1"/>
        <v>Low</v>
      </c>
      <c r="I30" s="6" t="s">
        <v>1202</v>
      </c>
      <c r="J30" s="6" t="s">
        <v>1254</v>
      </c>
      <c r="K30" s="6" t="s">
        <v>1255</v>
      </c>
      <c r="L30" s="11">
        <v>46179.000009837961</v>
      </c>
      <c r="M30" s="11">
        <v>46242.000009837961</v>
      </c>
    </row>
    <row r="31" spans="1:13" x14ac:dyDescent="0.25">
      <c r="A31" s="6" t="s">
        <v>1256</v>
      </c>
      <c r="B31" s="6" t="s">
        <v>133</v>
      </c>
      <c r="C31" s="6" t="s">
        <v>1225</v>
      </c>
      <c r="D31" s="6" t="s">
        <v>97</v>
      </c>
      <c r="E31" s="6">
        <v>3</v>
      </c>
      <c r="F31" s="6">
        <v>1</v>
      </c>
      <c r="G31" s="6">
        <f t="shared" si="0"/>
        <v>3</v>
      </c>
      <c r="H31" s="6" t="str">
        <f t="shared" si="1"/>
        <v>Low</v>
      </c>
      <c r="I31" s="6" t="s">
        <v>1219</v>
      </c>
      <c r="J31" s="6" t="s">
        <v>1254</v>
      </c>
      <c r="K31" s="6" t="s">
        <v>1255</v>
      </c>
      <c r="L31" s="11">
        <v>46113.000009837961</v>
      </c>
      <c r="M31" s="11">
        <v>46167.000009837961</v>
      </c>
    </row>
    <row r="32" spans="1:13" x14ac:dyDescent="0.25">
      <c r="A32" s="6" t="s">
        <v>1257</v>
      </c>
      <c r="B32" s="6" t="s">
        <v>214</v>
      </c>
      <c r="C32" s="6" t="s">
        <v>1225</v>
      </c>
      <c r="D32" s="6" t="s">
        <v>96</v>
      </c>
      <c r="E32" s="6">
        <v>1</v>
      </c>
      <c r="F32" s="6">
        <v>3</v>
      </c>
      <c r="G32" s="6">
        <f t="shared" si="0"/>
        <v>3</v>
      </c>
      <c r="H32" s="6" t="str">
        <f t="shared" si="1"/>
        <v>Low</v>
      </c>
      <c r="I32" s="6" t="s">
        <v>1202</v>
      </c>
      <c r="J32" s="6" t="s">
        <v>1254</v>
      </c>
      <c r="K32" s="6" t="s">
        <v>1255</v>
      </c>
      <c r="L32" s="11">
        <v>46186.000009837961</v>
      </c>
      <c r="M32" s="11">
        <v>46206.000009837961</v>
      </c>
    </row>
    <row r="33" spans="1:13" x14ac:dyDescent="0.25">
      <c r="A33" s="6" t="s">
        <v>1258</v>
      </c>
      <c r="B33" s="6" t="s">
        <v>164</v>
      </c>
      <c r="C33" s="6" t="s">
        <v>1231</v>
      </c>
      <c r="D33" s="6" t="s">
        <v>97</v>
      </c>
      <c r="E33" s="6">
        <v>2</v>
      </c>
      <c r="F33" s="6">
        <v>3</v>
      </c>
      <c r="G33" s="6">
        <f t="shared" si="0"/>
        <v>6</v>
      </c>
      <c r="H33" s="6" t="str">
        <f t="shared" si="1"/>
        <v>Low</v>
      </c>
      <c r="I33" s="6" t="s">
        <v>1202</v>
      </c>
      <c r="J33" s="6" t="s">
        <v>1254</v>
      </c>
      <c r="K33" s="6" t="s">
        <v>1255</v>
      </c>
      <c r="L33" s="11">
        <v>46074.000009837961</v>
      </c>
      <c r="M33" s="11">
        <v>46113.000009837961</v>
      </c>
    </row>
    <row r="34" spans="1:13" x14ac:dyDescent="0.25">
      <c r="A34" s="6" t="s">
        <v>1259</v>
      </c>
      <c r="B34" s="6" t="s">
        <v>228</v>
      </c>
      <c r="C34" s="6" t="s">
        <v>1231</v>
      </c>
      <c r="D34" s="6" t="s">
        <v>100</v>
      </c>
      <c r="E34" s="6">
        <v>2</v>
      </c>
      <c r="F34" s="6">
        <v>3</v>
      </c>
      <c r="G34" s="6">
        <f t="shared" si="0"/>
        <v>6</v>
      </c>
      <c r="H34" s="6" t="str">
        <f t="shared" si="1"/>
        <v>Low</v>
      </c>
      <c r="I34" s="6" t="s">
        <v>412</v>
      </c>
      <c r="J34" s="6" t="s">
        <v>1254</v>
      </c>
      <c r="K34" s="6" t="s">
        <v>1255</v>
      </c>
      <c r="L34" s="11">
        <v>46145.000009837961</v>
      </c>
      <c r="M34" s="11">
        <v>46226.000009837961</v>
      </c>
    </row>
    <row r="35" spans="1:13" x14ac:dyDescent="0.25">
      <c r="A35" s="6" t="s">
        <v>1260</v>
      </c>
      <c r="B35" s="6" t="s">
        <v>244</v>
      </c>
      <c r="C35" s="6" t="s">
        <v>1221</v>
      </c>
      <c r="D35" s="6" t="s">
        <v>96</v>
      </c>
      <c r="E35" s="6">
        <v>2</v>
      </c>
      <c r="F35" s="6">
        <v>3</v>
      </c>
      <c r="G35" s="6">
        <f t="shared" si="0"/>
        <v>6</v>
      </c>
      <c r="H35" s="6" t="str">
        <f t="shared" si="1"/>
        <v>Low</v>
      </c>
      <c r="I35" s="6" t="s">
        <v>1202</v>
      </c>
      <c r="J35" s="6" t="s">
        <v>1254</v>
      </c>
      <c r="K35" s="6" t="s">
        <v>1255</v>
      </c>
      <c r="L35" s="11">
        <v>46051.000009837961</v>
      </c>
      <c r="M35" s="11">
        <v>46119.000009837961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0B18-2D92-4334-A929-E906E05C4A1B}">
  <dimension ref="A1:H17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9.08984375" style="6" customWidth="1"/>
    <col min="2" max="2" width="10.6328125" style="6" customWidth="1"/>
    <col min="3" max="3" width="40.36328125" style="6" bestFit="1" customWidth="1"/>
    <col min="4" max="4" width="9.81640625" style="6" customWidth="1"/>
    <col min="5" max="5" width="14.1796875" style="6" bestFit="1" customWidth="1"/>
    <col min="6" max="6" width="12.54296875" style="6" customWidth="1"/>
    <col min="7" max="7" width="8.36328125" style="6" customWidth="1"/>
    <col min="8" max="8" width="17.1796875" style="6" customWidth="1"/>
    <col min="9" max="16384" width="8.7265625" style="6"/>
  </cols>
  <sheetData>
    <row r="1" spans="1:8" ht="18" customHeight="1" x14ac:dyDescent="0.3">
      <c r="A1" s="10" t="s">
        <v>1261</v>
      </c>
      <c r="B1" s="10" t="s">
        <v>105</v>
      </c>
      <c r="C1" s="10" t="s">
        <v>1262</v>
      </c>
      <c r="D1" s="10" t="s">
        <v>1263</v>
      </c>
      <c r="E1" s="10" t="s">
        <v>1195</v>
      </c>
      <c r="F1" s="10" t="s">
        <v>1198</v>
      </c>
      <c r="G1" s="10" t="s">
        <v>1197</v>
      </c>
      <c r="H1" s="10" t="s">
        <v>1199</v>
      </c>
    </row>
    <row r="2" spans="1:8" x14ac:dyDescent="0.25">
      <c r="A2" s="6" t="s">
        <v>1264</v>
      </c>
      <c r="B2" s="6" t="s">
        <v>146</v>
      </c>
      <c r="C2" s="6" t="s">
        <v>1265</v>
      </c>
      <c r="D2" s="6" t="s">
        <v>1266</v>
      </c>
      <c r="E2" s="6" t="s">
        <v>1219</v>
      </c>
      <c r="F2" s="11">
        <v>46227.000009837961</v>
      </c>
      <c r="G2" s="6" t="s">
        <v>1204</v>
      </c>
      <c r="H2" s="11">
        <v>46252.000009837961</v>
      </c>
    </row>
    <row r="3" spans="1:8" x14ac:dyDescent="0.25">
      <c r="A3" s="6" t="s">
        <v>1267</v>
      </c>
      <c r="B3" s="6" t="s">
        <v>235</v>
      </c>
      <c r="C3" s="6" t="s">
        <v>1268</v>
      </c>
      <c r="D3" s="6" t="s">
        <v>1266</v>
      </c>
      <c r="E3" s="6" t="s">
        <v>1202</v>
      </c>
      <c r="F3" s="11">
        <v>46218.000009837961</v>
      </c>
      <c r="G3" s="6" t="s">
        <v>1204</v>
      </c>
      <c r="H3" s="11">
        <v>46243.000009837961</v>
      </c>
    </row>
    <row r="4" spans="1:8" x14ac:dyDescent="0.25">
      <c r="A4" s="6" t="s">
        <v>1269</v>
      </c>
      <c r="B4" s="6" t="s">
        <v>146</v>
      </c>
      <c r="C4" s="6" t="s">
        <v>1270</v>
      </c>
      <c r="D4" s="6" t="s">
        <v>1271</v>
      </c>
      <c r="E4" s="6" t="s">
        <v>1202</v>
      </c>
      <c r="F4" s="11">
        <v>46196.000009837961</v>
      </c>
      <c r="G4" s="6" t="s">
        <v>1204</v>
      </c>
      <c r="H4" s="11">
        <v>46232.000009837961</v>
      </c>
    </row>
    <row r="5" spans="1:8" x14ac:dyDescent="0.25">
      <c r="A5" s="6" t="s">
        <v>1272</v>
      </c>
      <c r="B5" s="6" t="s">
        <v>211</v>
      </c>
      <c r="C5" s="6" t="s">
        <v>1273</v>
      </c>
      <c r="D5" s="6" t="s">
        <v>1266</v>
      </c>
      <c r="E5" s="6" t="s">
        <v>1219</v>
      </c>
      <c r="F5" s="11">
        <v>46233.000009837961</v>
      </c>
      <c r="G5" s="6" t="s">
        <v>1204</v>
      </c>
      <c r="H5" s="11">
        <v>46249.000009837961</v>
      </c>
    </row>
    <row r="6" spans="1:8" x14ac:dyDescent="0.25">
      <c r="A6" s="6" t="s">
        <v>1274</v>
      </c>
      <c r="B6" s="6" t="s">
        <v>241</v>
      </c>
      <c r="C6" s="6" t="s">
        <v>1275</v>
      </c>
      <c r="D6" s="6" t="s">
        <v>1271</v>
      </c>
      <c r="E6" s="6" t="s">
        <v>1202</v>
      </c>
      <c r="F6" s="11">
        <v>46227.000009837961</v>
      </c>
      <c r="G6" s="6" t="s">
        <v>1204</v>
      </c>
      <c r="H6" s="11">
        <v>46249.000009837961</v>
      </c>
    </row>
    <row r="7" spans="1:8" x14ac:dyDescent="0.25">
      <c r="A7" s="6" t="s">
        <v>1276</v>
      </c>
      <c r="B7" s="6" t="s">
        <v>207</v>
      </c>
      <c r="C7" s="6" t="s">
        <v>1277</v>
      </c>
      <c r="D7" s="6" t="s">
        <v>1266</v>
      </c>
      <c r="E7" s="6" t="s">
        <v>412</v>
      </c>
      <c r="F7" s="11">
        <v>46192.000009837961</v>
      </c>
      <c r="G7" s="6" t="s">
        <v>1204</v>
      </c>
      <c r="H7" s="11">
        <v>46235.000009837961</v>
      </c>
    </row>
    <row r="8" spans="1:8" x14ac:dyDescent="0.25">
      <c r="A8" s="6" t="s">
        <v>1278</v>
      </c>
      <c r="B8" s="6" t="s">
        <v>231</v>
      </c>
      <c r="C8" s="6" t="s">
        <v>1273</v>
      </c>
      <c r="D8" s="6" t="s">
        <v>1271</v>
      </c>
      <c r="E8" s="6" t="s">
        <v>1219</v>
      </c>
      <c r="F8" s="11">
        <v>46227.000009837961</v>
      </c>
      <c r="G8" s="6" t="s">
        <v>1204</v>
      </c>
      <c r="H8" s="11">
        <v>46247.000009837961</v>
      </c>
    </row>
    <row r="9" spans="1:8" x14ac:dyDescent="0.25">
      <c r="A9" s="6" t="s">
        <v>1279</v>
      </c>
      <c r="B9" s="6" t="s">
        <v>140</v>
      </c>
      <c r="C9" s="6" t="s">
        <v>1265</v>
      </c>
      <c r="D9" s="6" t="s">
        <v>1271</v>
      </c>
      <c r="E9" s="6" t="s">
        <v>1219</v>
      </c>
      <c r="F9" s="11">
        <v>46224.000009837961</v>
      </c>
      <c r="G9" s="6" t="s">
        <v>1204</v>
      </c>
      <c r="H9" s="11">
        <v>46244.000009837961</v>
      </c>
    </row>
    <row r="10" spans="1:8" x14ac:dyDescent="0.25">
      <c r="A10" s="6" t="s">
        <v>1280</v>
      </c>
      <c r="B10" s="6" t="s">
        <v>211</v>
      </c>
      <c r="C10" s="6" t="s">
        <v>1270</v>
      </c>
      <c r="D10" s="6" t="s">
        <v>1281</v>
      </c>
      <c r="E10" s="6" t="s">
        <v>1202</v>
      </c>
      <c r="F10" s="11">
        <v>46247.000009837961</v>
      </c>
      <c r="G10" s="6" t="s">
        <v>1204</v>
      </c>
      <c r="H10" s="11">
        <v>46269.000009837961</v>
      </c>
    </row>
    <row r="11" spans="1:8" x14ac:dyDescent="0.25">
      <c r="A11" s="6" t="s">
        <v>1282</v>
      </c>
      <c r="B11" s="6" t="s">
        <v>228</v>
      </c>
      <c r="C11" s="6" t="s">
        <v>1273</v>
      </c>
      <c r="D11" s="6" t="s">
        <v>1266</v>
      </c>
      <c r="E11" s="6" t="s">
        <v>1202</v>
      </c>
      <c r="F11" s="11">
        <v>46230.000009837961</v>
      </c>
      <c r="G11" s="6" t="s">
        <v>1204</v>
      </c>
      <c r="H11" s="11">
        <v>46253.000009837961</v>
      </c>
    </row>
    <row r="12" spans="1:8" x14ac:dyDescent="0.25">
      <c r="A12" s="6" t="s">
        <v>1283</v>
      </c>
      <c r="B12" s="6" t="s">
        <v>203</v>
      </c>
      <c r="C12" s="6" t="s">
        <v>1277</v>
      </c>
      <c r="D12" s="6" t="s">
        <v>1266</v>
      </c>
      <c r="E12" s="6" t="s">
        <v>1219</v>
      </c>
      <c r="F12" s="11">
        <v>46230.000009837961</v>
      </c>
      <c r="G12" s="6" t="s">
        <v>1204</v>
      </c>
      <c r="H12" s="11">
        <v>46274.000009837961</v>
      </c>
    </row>
    <row r="13" spans="1:8" x14ac:dyDescent="0.25">
      <c r="A13" s="6" t="s">
        <v>1284</v>
      </c>
      <c r="B13" s="6" t="s">
        <v>224</v>
      </c>
      <c r="C13" s="6" t="s">
        <v>1268</v>
      </c>
      <c r="D13" s="6" t="s">
        <v>1271</v>
      </c>
      <c r="E13" s="6" t="s">
        <v>1202</v>
      </c>
      <c r="F13" s="11">
        <v>46210.000009837961</v>
      </c>
      <c r="G13" s="6" t="s">
        <v>1204</v>
      </c>
      <c r="H13" s="11">
        <v>46233.000009837961</v>
      </c>
    </row>
    <row r="14" spans="1:8" x14ac:dyDescent="0.25">
      <c r="A14" s="6" t="s">
        <v>1285</v>
      </c>
      <c r="B14" s="6" t="s">
        <v>235</v>
      </c>
      <c r="C14" s="6" t="s">
        <v>1270</v>
      </c>
      <c r="D14" s="6" t="s">
        <v>1281</v>
      </c>
      <c r="E14" s="6" t="s">
        <v>1202</v>
      </c>
      <c r="F14" s="11">
        <v>46202.000009837961</v>
      </c>
      <c r="G14" s="6" t="s">
        <v>1204</v>
      </c>
      <c r="H14" s="11">
        <v>46242.000009837961</v>
      </c>
    </row>
    <row r="15" spans="1:8" x14ac:dyDescent="0.25">
      <c r="A15" s="6" t="s">
        <v>1286</v>
      </c>
      <c r="B15" s="6" t="s">
        <v>152</v>
      </c>
      <c r="C15" s="6" t="s">
        <v>1268</v>
      </c>
      <c r="D15" s="6" t="s">
        <v>1266</v>
      </c>
      <c r="E15" s="6" t="s">
        <v>412</v>
      </c>
      <c r="F15" s="11">
        <v>46245.000009837961</v>
      </c>
      <c r="G15" s="6" t="s">
        <v>1204</v>
      </c>
      <c r="H15" s="11">
        <v>46262.000009837961</v>
      </c>
    </row>
    <row r="16" spans="1:8" x14ac:dyDescent="0.25">
      <c r="A16" s="6" t="s">
        <v>1287</v>
      </c>
      <c r="B16" s="6" t="s">
        <v>211</v>
      </c>
      <c r="C16" s="6" t="s">
        <v>1277</v>
      </c>
      <c r="D16" s="6" t="s">
        <v>1271</v>
      </c>
      <c r="E16" s="6" t="s">
        <v>1202</v>
      </c>
      <c r="F16" s="11">
        <v>46215.000009837961</v>
      </c>
      <c r="G16" s="6" t="s">
        <v>1204</v>
      </c>
      <c r="H16" s="11">
        <v>46258.000009837961</v>
      </c>
    </row>
    <row r="17" spans="1:8" x14ac:dyDescent="0.25">
      <c r="A17" s="6" t="s">
        <v>1288</v>
      </c>
      <c r="B17" s="6" t="s">
        <v>146</v>
      </c>
      <c r="C17" s="6" t="s">
        <v>1277</v>
      </c>
      <c r="D17" s="6" t="s">
        <v>1266</v>
      </c>
      <c r="E17" s="6" t="s">
        <v>1202</v>
      </c>
      <c r="F17" s="11">
        <v>46200.000009837961</v>
      </c>
      <c r="G17" s="6" t="s">
        <v>1204</v>
      </c>
      <c r="H17" s="11">
        <v>46210.000009837961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4861-7C78-407A-A477-61BE1325D7F3}">
  <dimension ref="A1:G20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0" style="6" customWidth="1"/>
    <col min="2" max="2" width="10.6328125" style="6" customWidth="1"/>
    <col min="3" max="3" width="40" style="6" bestFit="1" customWidth="1"/>
    <col min="4" max="4" width="18.36328125" style="6" bestFit="1" customWidth="1"/>
    <col min="5" max="5" width="11.6328125" style="6" bestFit="1" customWidth="1"/>
    <col min="6" max="6" width="8.36328125" style="6" customWidth="1"/>
    <col min="7" max="7" width="11.6328125" style="6" customWidth="1"/>
    <col min="8" max="16384" width="8.7265625" style="6"/>
  </cols>
  <sheetData>
    <row r="1" spans="1:7" ht="18" customHeight="1" x14ac:dyDescent="0.3">
      <c r="A1" s="10" t="s">
        <v>1289</v>
      </c>
      <c r="B1" s="10" t="s">
        <v>105</v>
      </c>
      <c r="C1" s="10" t="s">
        <v>1290</v>
      </c>
      <c r="D1" s="10" t="s">
        <v>1195</v>
      </c>
      <c r="E1" s="10" t="s">
        <v>445</v>
      </c>
      <c r="F1" s="10" t="s">
        <v>1197</v>
      </c>
      <c r="G1" s="10" t="s">
        <v>446</v>
      </c>
    </row>
    <row r="2" spans="1:7" x14ac:dyDescent="0.25">
      <c r="A2" s="6" t="s">
        <v>1291</v>
      </c>
      <c r="B2" s="6" t="s">
        <v>220</v>
      </c>
      <c r="C2" s="6" t="s">
        <v>1292</v>
      </c>
      <c r="D2" s="6" t="s">
        <v>412</v>
      </c>
      <c r="E2" s="11">
        <v>46262.000009837961</v>
      </c>
      <c r="F2" s="6" t="s">
        <v>1204</v>
      </c>
      <c r="G2" s="6" t="b">
        <f>IF(AND(E2&lt;Config!$B$2,F2="Open"),TRUE,FALSE)</f>
        <v>0</v>
      </c>
    </row>
    <row r="3" spans="1:7" x14ac:dyDescent="0.25">
      <c r="A3" s="6" t="s">
        <v>1293</v>
      </c>
      <c r="B3" s="6" t="s">
        <v>244</v>
      </c>
      <c r="C3" s="6" t="s">
        <v>1294</v>
      </c>
      <c r="D3" s="6" t="s">
        <v>1219</v>
      </c>
      <c r="E3" s="11">
        <v>46268.000009837961</v>
      </c>
      <c r="F3" s="6" t="s">
        <v>1204</v>
      </c>
      <c r="G3" s="6" t="b">
        <f>IF(AND(E3&lt;Config!$B$2,F3="Open"),TRUE,FALSE)</f>
        <v>0</v>
      </c>
    </row>
    <row r="4" spans="1:7" x14ac:dyDescent="0.25">
      <c r="A4" s="6" t="s">
        <v>1295</v>
      </c>
      <c r="B4" s="6" t="s">
        <v>217</v>
      </c>
      <c r="C4" s="6" t="s">
        <v>1296</v>
      </c>
      <c r="D4" s="6" t="s">
        <v>412</v>
      </c>
      <c r="E4" s="11">
        <v>46240.000009837961</v>
      </c>
      <c r="F4" s="6" t="s">
        <v>1204</v>
      </c>
      <c r="G4" s="6" t="b">
        <f>IF(AND(E4&lt;Config!$B$2,F4="Open"),TRUE,FALSE)</f>
        <v>1</v>
      </c>
    </row>
    <row r="5" spans="1:7" x14ac:dyDescent="0.25">
      <c r="A5" s="6" t="s">
        <v>1297</v>
      </c>
      <c r="B5" s="6" t="s">
        <v>211</v>
      </c>
      <c r="C5" s="6" t="s">
        <v>1298</v>
      </c>
      <c r="D5" s="6" t="s">
        <v>431</v>
      </c>
      <c r="E5" s="11">
        <v>46247.000009837961</v>
      </c>
      <c r="F5" s="6" t="s">
        <v>1204</v>
      </c>
      <c r="G5" s="6" t="b">
        <f>IF(AND(E5&lt;Config!$B$2,F5="Open"),TRUE,FALSE)</f>
        <v>1</v>
      </c>
    </row>
    <row r="6" spans="1:7" x14ac:dyDescent="0.25">
      <c r="A6" s="6" t="s">
        <v>1299</v>
      </c>
      <c r="B6" s="6" t="s">
        <v>140</v>
      </c>
      <c r="C6" s="6" t="s">
        <v>1292</v>
      </c>
      <c r="D6" s="6" t="s">
        <v>1202</v>
      </c>
      <c r="E6" s="11">
        <v>46240.000009837961</v>
      </c>
      <c r="F6" s="6" t="s">
        <v>1204</v>
      </c>
      <c r="G6" s="6" t="b">
        <f>IF(AND(E6&lt;Config!$B$2,F6="Open"),TRUE,FALSE)</f>
        <v>1</v>
      </c>
    </row>
    <row r="7" spans="1:7" x14ac:dyDescent="0.25">
      <c r="A7" s="6" t="s">
        <v>1300</v>
      </c>
      <c r="B7" s="6" t="s">
        <v>152</v>
      </c>
      <c r="C7" s="6" t="s">
        <v>1294</v>
      </c>
      <c r="D7" s="6" t="s">
        <v>412</v>
      </c>
      <c r="E7" s="11">
        <v>46276.000009837961</v>
      </c>
      <c r="F7" s="6" t="s">
        <v>1204</v>
      </c>
      <c r="G7" s="6" t="b">
        <f>IF(AND(E7&lt;Config!$B$2,F7="Open"),TRUE,FALSE)</f>
        <v>0</v>
      </c>
    </row>
    <row r="8" spans="1:7" x14ac:dyDescent="0.25">
      <c r="A8" s="6" t="s">
        <v>1301</v>
      </c>
      <c r="B8" s="6" t="s">
        <v>158</v>
      </c>
      <c r="C8" s="6" t="s">
        <v>1292</v>
      </c>
      <c r="D8" s="6" t="s">
        <v>1202</v>
      </c>
      <c r="E8" s="11">
        <v>46265.000009837961</v>
      </c>
      <c r="F8" s="6" t="s">
        <v>1204</v>
      </c>
      <c r="G8" s="6" t="b">
        <f>IF(AND(E8&lt;Config!$B$2,F8="Open"),TRUE,FALSE)</f>
        <v>0</v>
      </c>
    </row>
    <row r="9" spans="1:7" x14ac:dyDescent="0.25">
      <c r="A9" s="6" t="s">
        <v>1302</v>
      </c>
      <c r="B9" s="6" t="s">
        <v>241</v>
      </c>
      <c r="C9" s="6" t="s">
        <v>1298</v>
      </c>
      <c r="D9" s="6" t="s">
        <v>1202</v>
      </c>
      <c r="E9" s="11">
        <v>46243.000009837961</v>
      </c>
      <c r="F9" s="6" t="s">
        <v>1204</v>
      </c>
      <c r="G9" s="6" t="b">
        <f>IF(AND(E9&lt;Config!$B$2,F9="Open"),TRUE,FALSE)</f>
        <v>1</v>
      </c>
    </row>
    <row r="10" spans="1:7" x14ac:dyDescent="0.25">
      <c r="A10" s="6" t="s">
        <v>1303</v>
      </c>
      <c r="B10" s="6" t="s">
        <v>179</v>
      </c>
      <c r="C10" s="6" t="s">
        <v>1296</v>
      </c>
      <c r="D10" s="6" t="s">
        <v>1219</v>
      </c>
      <c r="E10" s="11">
        <v>46270.000009837961</v>
      </c>
      <c r="F10" s="6" t="s">
        <v>1204</v>
      </c>
      <c r="G10" s="6" t="b">
        <f>IF(AND(E10&lt;Config!$B$2,F10="Open"),TRUE,FALSE)</f>
        <v>0</v>
      </c>
    </row>
    <row r="11" spans="1:7" x14ac:dyDescent="0.25">
      <c r="A11" s="6" t="s">
        <v>1304</v>
      </c>
      <c r="B11" s="6" t="s">
        <v>231</v>
      </c>
      <c r="C11" s="6" t="s">
        <v>1296</v>
      </c>
      <c r="D11" s="6" t="s">
        <v>412</v>
      </c>
      <c r="E11" s="11">
        <v>46276.000009837961</v>
      </c>
      <c r="F11" s="6" t="s">
        <v>1204</v>
      </c>
      <c r="G11" s="6" t="b">
        <f>IF(AND(E11&lt;Config!$B$2,F11="Open"),TRUE,FALSE)</f>
        <v>0</v>
      </c>
    </row>
    <row r="12" spans="1:7" x14ac:dyDescent="0.25">
      <c r="A12" s="6" t="s">
        <v>1305</v>
      </c>
      <c r="B12" s="6" t="s">
        <v>220</v>
      </c>
      <c r="C12" s="6" t="s">
        <v>1292</v>
      </c>
      <c r="D12" s="6" t="s">
        <v>431</v>
      </c>
      <c r="E12" s="11">
        <v>46263.000009837961</v>
      </c>
      <c r="F12" s="6" t="s">
        <v>1204</v>
      </c>
      <c r="G12" s="6" t="b">
        <f>IF(AND(E12&lt;Config!$B$2,F12="Open"),TRUE,FALSE)</f>
        <v>0</v>
      </c>
    </row>
    <row r="13" spans="1:7" x14ac:dyDescent="0.25">
      <c r="A13" s="6" t="s">
        <v>1306</v>
      </c>
      <c r="B13" s="6" t="s">
        <v>214</v>
      </c>
      <c r="C13" s="6" t="s">
        <v>1292</v>
      </c>
      <c r="D13" s="6" t="s">
        <v>431</v>
      </c>
      <c r="E13" s="11">
        <v>46267.000009837961</v>
      </c>
      <c r="F13" s="6" t="s">
        <v>1204</v>
      </c>
      <c r="G13" s="6" t="b">
        <f>IF(AND(E13&lt;Config!$B$2,F13="Open"),TRUE,FALSE)</f>
        <v>0</v>
      </c>
    </row>
    <row r="14" spans="1:7" x14ac:dyDescent="0.25">
      <c r="A14" s="6" t="s">
        <v>1307</v>
      </c>
      <c r="B14" s="6" t="s">
        <v>231</v>
      </c>
      <c r="C14" s="6" t="s">
        <v>1308</v>
      </c>
      <c r="D14" s="6" t="s">
        <v>412</v>
      </c>
      <c r="E14" s="11">
        <v>46256.000009837961</v>
      </c>
      <c r="F14" s="6" t="s">
        <v>1204</v>
      </c>
      <c r="G14" s="6" t="b">
        <f>IF(AND(E14&lt;Config!$B$2,F14="Open"),TRUE,FALSE)</f>
        <v>0</v>
      </c>
    </row>
    <row r="15" spans="1:7" x14ac:dyDescent="0.25">
      <c r="A15" s="6" t="s">
        <v>1309</v>
      </c>
      <c r="B15" s="6" t="s">
        <v>179</v>
      </c>
      <c r="C15" s="6" t="s">
        <v>1310</v>
      </c>
      <c r="D15" s="6" t="s">
        <v>412</v>
      </c>
      <c r="E15" s="11">
        <v>46250.000009837961</v>
      </c>
      <c r="F15" s="6" t="s">
        <v>1204</v>
      </c>
      <c r="G15" s="6" t="b">
        <f>IF(AND(E15&lt;Config!$B$2,F15="Open"),TRUE,FALSE)</f>
        <v>0</v>
      </c>
    </row>
    <row r="16" spans="1:7" x14ac:dyDescent="0.25">
      <c r="A16" s="6" t="s">
        <v>1311</v>
      </c>
      <c r="B16" s="6" t="s">
        <v>224</v>
      </c>
      <c r="C16" s="6" t="s">
        <v>1308</v>
      </c>
      <c r="D16" s="6" t="s">
        <v>412</v>
      </c>
      <c r="E16" s="11">
        <v>46272.000009837961</v>
      </c>
      <c r="F16" s="6" t="s">
        <v>1204</v>
      </c>
      <c r="G16" s="6" t="b">
        <f>IF(AND(E16&lt;Config!$B$2,F16="Open"),TRUE,FALSE)</f>
        <v>0</v>
      </c>
    </row>
    <row r="17" spans="1:7" x14ac:dyDescent="0.25">
      <c r="A17" s="6" t="s">
        <v>1312</v>
      </c>
      <c r="B17" s="6" t="s">
        <v>203</v>
      </c>
      <c r="C17" s="6" t="s">
        <v>1292</v>
      </c>
      <c r="D17" s="6" t="s">
        <v>1202</v>
      </c>
      <c r="E17" s="11">
        <v>46251.000009837961</v>
      </c>
      <c r="F17" s="6" t="s">
        <v>1204</v>
      </c>
      <c r="G17" s="6" t="b">
        <f>IF(AND(E17&lt;Config!$B$2,F17="Open"),TRUE,FALSE)</f>
        <v>0</v>
      </c>
    </row>
    <row r="18" spans="1:7" x14ac:dyDescent="0.25">
      <c r="A18" s="6" t="s">
        <v>1313</v>
      </c>
      <c r="B18" s="6" t="s">
        <v>195</v>
      </c>
      <c r="C18" s="6" t="s">
        <v>1298</v>
      </c>
      <c r="D18" s="6" t="s">
        <v>431</v>
      </c>
      <c r="E18" s="11">
        <v>46257.000009837961</v>
      </c>
      <c r="F18" s="6" t="s">
        <v>1204</v>
      </c>
      <c r="G18" s="6" t="b">
        <f>IF(AND(E18&lt;Config!$B$2,F18="Open"),TRUE,FALSE)</f>
        <v>0</v>
      </c>
    </row>
    <row r="19" spans="1:7" x14ac:dyDescent="0.25">
      <c r="A19" s="6" t="s">
        <v>1314</v>
      </c>
      <c r="B19" s="6" t="s">
        <v>158</v>
      </c>
      <c r="C19" s="6" t="s">
        <v>1296</v>
      </c>
      <c r="D19" s="6" t="s">
        <v>1202</v>
      </c>
      <c r="E19" s="11">
        <v>46274.000009837961</v>
      </c>
      <c r="F19" s="6" t="s">
        <v>1204</v>
      </c>
      <c r="G19" s="6" t="b">
        <f>IF(AND(E19&lt;Config!$B$2,F19="Open"),TRUE,FALSE)</f>
        <v>0</v>
      </c>
    </row>
    <row r="20" spans="1:7" x14ac:dyDescent="0.25">
      <c r="A20" s="6" t="s">
        <v>1315</v>
      </c>
      <c r="B20" s="6" t="s">
        <v>244</v>
      </c>
      <c r="C20" s="6" t="s">
        <v>1316</v>
      </c>
      <c r="D20" s="6" t="s">
        <v>1202</v>
      </c>
      <c r="E20" s="11">
        <v>46278.000009837961</v>
      </c>
      <c r="F20" s="6" t="s">
        <v>1204</v>
      </c>
      <c r="G20" s="6" t="b">
        <f>IF(AND(E20&lt;Config!$B$2,F20="Open"),TRUE,FALSE)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BA20-5363-4419-9986-A417C991F295}">
  <dimension ref="A1:F7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8.1796875" style="6" customWidth="1"/>
    <col min="2" max="2" width="10.6328125" style="6" customWidth="1"/>
    <col min="3" max="3" width="43.1796875" style="6" bestFit="1" customWidth="1"/>
    <col min="4" max="4" width="14.81640625" style="6" bestFit="1" customWidth="1"/>
    <col min="5" max="5" width="12.54296875" style="6" customWidth="1"/>
    <col min="6" max="6" width="8.54296875" style="6" customWidth="1"/>
    <col min="7" max="16384" width="8.7265625" style="6"/>
  </cols>
  <sheetData>
    <row r="1" spans="1:6" ht="18" customHeight="1" x14ac:dyDescent="0.3">
      <c r="A1" s="10" t="s">
        <v>1317</v>
      </c>
      <c r="B1" s="10" t="s">
        <v>105</v>
      </c>
      <c r="C1" s="10" t="s">
        <v>1318</v>
      </c>
      <c r="D1" s="10" t="s">
        <v>1197</v>
      </c>
      <c r="E1" s="10" t="s">
        <v>1198</v>
      </c>
      <c r="F1" s="10" t="s">
        <v>1192</v>
      </c>
    </row>
    <row r="2" spans="1:6" x14ac:dyDescent="0.25">
      <c r="A2" s="6" t="s">
        <v>1319</v>
      </c>
      <c r="B2" s="6" t="s">
        <v>189</v>
      </c>
      <c r="C2" s="6" t="s">
        <v>1320</v>
      </c>
      <c r="D2" s="6" t="s">
        <v>1321</v>
      </c>
      <c r="E2" s="11">
        <v>46231.000009837961</v>
      </c>
      <c r="F2" s="6" t="s">
        <v>1322</v>
      </c>
    </row>
    <row r="3" spans="1:6" x14ac:dyDescent="0.25">
      <c r="A3" s="6" t="s">
        <v>1323</v>
      </c>
      <c r="B3" s="6" t="s">
        <v>224</v>
      </c>
      <c r="C3" s="6" t="s">
        <v>1324</v>
      </c>
      <c r="D3" s="6" t="s">
        <v>1325</v>
      </c>
      <c r="E3" s="11">
        <v>46210.000009837961</v>
      </c>
      <c r="F3" s="6" t="s">
        <v>96</v>
      </c>
    </row>
    <row r="4" spans="1:6" x14ac:dyDescent="0.25">
      <c r="A4" s="6" t="s">
        <v>1326</v>
      </c>
      <c r="B4" s="6" t="s">
        <v>158</v>
      </c>
      <c r="C4" s="6" t="s">
        <v>1327</v>
      </c>
      <c r="D4" s="6" t="s">
        <v>1321</v>
      </c>
      <c r="E4" s="11">
        <v>46228.000009837961</v>
      </c>
      <c r="F4" s="6" t="s">
        <v>97</v>
      </c>
    </row>
    <row r="5" spans="1:6" x14ac:dyDescent="0.25">
      <c r="A5" s="6" t="s">
        <v>1328</v>
      </c>
      <c r="B5" s="6" t="s">
        <v>133</v>
      </c>
      <c r="C5" s="6" t="s">
        <v>1329</v>
      </c>
      <c r="D5" s="6" t="s">
        <v>1330</v>
      </c>
      <c r="E5" s="11">
        <v>46218.000009837961</v>
      </c>
      <c r="F5" s="6" t="s">
        <v>1322</v>
      </c>
    </row>
    <row r="6" spans="1:6" x14ac:dyDescent="0.25">
      <c r="A6" s="6" t="s">
        <v>1331</v>
      </c>
      <c r="B6" s="6" t="s">
        <v>195</v>
      </c>
      <c r="C6" s="6" t="s">
        <v>1332</v>
      </c>
      <c r="D6" s="6" t="s">
        <v>1325</v>
      </c>
      <c r="E6" s="11">
        <v>46231.000009837961</v>
      </c>
      <c r="F6" s="6" t="s">
        <v>96</v>
      </c>
    </row>
    <row r="7" spans="1:6" x14ac:dyDescent="0.25">
      <c r="A7" s="6" t="s">
        <v>1333</v>
      </c>
      <c r="B7" s="6" t="s">
        <v>238</v>
      </c>
      <c r="C7" s="6" t="s">
        <v>1320</v>
      </c>
      <c r="D7" s="6" t="s">
        <v>1325</v>
      </c>
      <c r="E7" s="11">
        <v>46218.000009837961</v>
      </c>
      <c r="F7" s="6" t="s">
        <v>97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DB36-0619-4D59-8E35-EAFBD66070B4}">
  <dimension ref="A1:G102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2.81640625" style="6" customWidth="1"/>
    <col min="2" max="2" width="10.6328125" style="6" customWidth="1"/>
    <col min="3" max="3" width="24.54296875" style="6" bestFit="1" customWidth="1"/>
    <col min="4" max="4" width="15.36328125" style="6" customWidth="1"/>
    <col min="5" max="5" width="12.36328125" style="6" customWidth="1"/>
    <col min="6" max="6" width="10.08984375" style="6" bestFit="1" customWidth="1"/>
    <col min="7" max="7" width="12.08984375" style="6" customWidth="1"/>
    <col min="8" max="16384" width="8.7265625" style="6"/>
  </cols>
  <sheetData>
    <row r="1" spans="1:7" ht="18" customHeight="1" x14ac:dyDescent="0.3">
      <c r="A1" s="10" t="s">
        <v>1334</v>
      </c>
      <c r="B1" s="10" t="s">
        <v>105</v>
      </c>
      <c r="C1" s="10" t="s">
        <v>1335</v>
      </c>
      <c r="D1" s="10" t="s">
        <v>1336</v>
      </c>
      <c r="E1" s="10" t="s">
        <v>1337</v>
      </c>
      <c r="F1" s="10" t="s">
        <v>1197</v>
      </c>
      <c r="G1" s="10" t="s">
        <v>1338</v>
      </c>
    </row>
    <row r="2" spans="1:7" x14ac:dyDescent="0.25">
      <c r="A2" s="6" t="s">
        <v>1339</v>
      </c>
      <c r="B2" s="6" t="s">
        <v>133</v>
      </c>
      <c r="C2" s="6" t="s">
        <v>1340</v>
      </c>
      <c r="D2" s="6" t="s">
        <v>1341</v>
      </c>
      <c r="E2" s="11">
        <v>46225</v>
      </c>
      <c r="F2" s="6" t="s">
        <v>1342</v>
      </c>
      <c r="G2" s="11">
        <v>46225</v>
      </c>
    </row>
    <row r="3" spans="1:7" x14ac:dyDescent="0.25">
      <c r="A3" s="6" t="s">
        <v>1343</v>
      </c>
      <c r="B3" s="6" t="s">
        <v>133</v>
      </c>
      <c r="C3" s="6" t="s">
        <v>1344</v>
      </c>
      <c r="D3" s="6" t="s">
        <v>1341</v>
      </c>
      <c r="E3" s="11">
        <v>46234</v>
      </c>
      <c r="F3" s="6" t="s">
        <v>1342</v>
      </c>
      <c r="G3" s="11">
        <v>46234</v>
      </c>
    </row>
    <row r="4" spans="1:7" x14ac:dyDescent="0.25">
      <c r="A4" s="6" t="s">
        <v>1345</v>
      </c>
      <c r="B4" s="6" t="s">
        <v>133</v>
      </c>
      <c r="C4" s="6" t="s">
        <v>1346</v>
      </c>
      <c r="D4" s="6" t="s">
        <v>1341</v>
      </c>
      <c r="E4" s="11">
        <v>46251</v>
      </c>
      <c r="F4" s="6" t="s">
        <v>1347</v>
      </c>
      <c r="G4" s="11"/>
    </row>
    <row r="5" spans="1:7" x14ac:dyDescent="0.25">
      <c r="A5" s="6" t="s">
        <v>1348</v>
      </c>
      <c r="B5" s="6" t="s">
        <v>133</v>
      </c>
      <c r="C5" s="6" t="s">
        <v>1349</v>
      </c>
      <c r="D5" s="6" t="s">
        <v>1350</v>
      </c>
      <c r="E5" s="11">
        <v>46256</v>
      </c>
      <c r="F5" s="6" t="s">
        <v>1351</v>
      </c>
      <c r="G5" s="11"/>
    </row>
    <row r="6" spans="1:7" x14ac:dyDescent="0.25">
      <c r="A6" s="6" t="s">
        <v>1352</v>
      </c>
      <c r="B6" s="6" t="s">
        <v>133</v>
      </c>
      <c r="C6" s="6" t="s">
        <v>1353</v>
      </c>
      <c r="D6" s="6" t="s">
        <v>1341</v>
      </c>
      <c r="E6" s="11">
        <v>46259</v>
      </c>
      <c r="F6" s="6" t="s">
        <v>1354</v>
      </c>
      <c r="G6" s="11"/>
    </row>
    <row r="7" spans="1:7" x14ac:dyDescent="0.25">
      <c r="A7" s="6" t="s">
        <v>1355</v>
      </c>
      <c r="B7" s="6" t="s">
        <v>133</v>
      </c>
      <c r="C7" s="6" t="s">
        <v>1356</v>
      </c>
      <c r="D7" s="6" t="s">
        <v>1350</v>
      </c>
      <c r="E7" s="11">
        <v>46263</v>
      </c>
      <c r="F7" s="6" t="s">
        <v>1357</v>
      </c>
      <c r="G7" s="11"/>
    </row>
    <row r="8" spans="1:7" x14ac:dyDescent="0.25">
      <c r="A8" s="6" t="s">
        <v>1358</v>
      </c>
      <c r="B8" s="6" t="s">
        <v>140</v>
      </c>
      <c r="C8" s="6" t="s">
        <v>1359</v>
      </c>
      <c r="D8" s="6" t="s">
        <v>1341</v>
      </c>
      <c r="E8" s="11">
        <v>46269</v>
      </c>
      <c r="F8" s="6" t="s">
        <v>1360</v>
      </c>
      <c r="G8" s="11"/>
    </row>
    <row r="9" spans="1:7" x14ac:dyDescent="0.25">
      <c r="A9" s="6" t="s">
        <v>1361</v>
      </c>
      <c r="B9" s="6" t="s">
        <v>140</v>
      </c>
      <c r="C9" s="6" t="s">
        <v>1362</v>
      </c>
      <c r="D9" s="6" t="s">
        <v>1341</v>
      </c>
      <c r="E9" s="11">
        <v>46254</v>
      </c>
      <c r="F9" s="6" t="s">
        <v>1342</v>
      </c>
      <c r="G9" s="11">
        <v>46252</v>
      </c>
    </row>
    <row r="10" spans="1:7" x14ac:dyDescent="0.25">
      <c r="A10" s="6" t="s">
        <v>1363</v>
      </c>
      <c r="B10" s="6" t="s">
        <v>140</v>
      </c>
      <c r="C10" s="6" t="s">
        <v>1364</v>
      </c>
      <c r="D10" s="6" t="s">
        <v>1350</v>
      </c>
      <c r="E10" s="11">
        <v>46336</v>
      </c>
      <c r="F10" s="6" t="s">
        <v>1360</v>
      </c>
      <c r="G10" s="11"/>
    </row>
    <row r="11" spans="1:7" x14ac:dyDescent="0.25">
      <c r="A11" s="6" t="s">
        <v>1365</v>
      </c>
      <c r="B11" s="6" t="s">
        <v>146</v>
      </c>
      <c r="C11" s="6" t="s">
        <v>1366</v>
      </c>
      <c r="D11" s="6" t="s">
        <v>1341</v>
      </c>
      <c r="E11" s="11">
        <v>46291</v>
      </c>
      <c r="F11" s="6" t="s">
        <v>1357</v>
      </c>
      <c r="G11" s="11"/>
    </row>
    <row r="12" spans="1:7" x14ac:dyDescent="0.25">
      <c r="A12" s="6" t="s">
        <v>1367</v>
      </c>
      <c r="B12" s="6" t="s">
        <v>146</v>
      </c>
      <c r="C12" s="6" t="s">
        <v>1368</v>
      </c>
      <c r="D12" s="6" t="s">
        <v>1350</v>
      </c>
      <c r="E12" s="11">
        <v>46389</v>
      </c>
      <c r="F12" s="6" t="s">
        <v>1357</v>
      </c>
      <c r="G12" s="11"/>
    </row>
    <row r="13" spans="1:7" x14ac:dyDescent="0.25">
      <c r="A13" s="6" t="s">
        <v>1369</v>
      </c>
      <c r="B13" s="6" t="s">
        <v>152</v>
      </c>
      <c r="C13" s="6" t="s">
        <v>1340</v>
      </c>
      <c r="D13" s="6" t="s">
        <v>1341</v>
      </c>
      <c r="E13" s="11">
        <v>46003</v>
      </c>
      <c r="F13" s="6" t="s">
        <v>1342</v>
      </c>
      <c r="G13" s="11">
        <v>46002</v>
      </c>
    </row>
    <row r="14" spans="1:7" x14ac:dyDescent="0.25">
      <c r="A14" s="6" t="s">
        <v>1370</v>
      </c>
      <c r="B14" s="6" t="s">
        <v>152</v>
      </c>
      <c r="C14" s="6" t="s">
        <v>1344</v>
      </c>
      <c r="D14" s="6" t="s">
        <v>1341</v>
      </c>
      <c r="E14" s="11">
        <v>46091</v>
      </c>
      <c r="F14" s="6" t="s">
        <v>1342</v>
      </c>
      <c r="G14" s="11">
        <v>46093</v>
      </c>
    </row>
    <row r="15" spans="1:7" x14ac:dyDescent="0.25">
      <c r="A15" s="6" t="s">
        <v>1371</v>
      </c>
      <c r="B15" s="6" t="s">
        <v>152</v>
      </c>
      <c r="C15" s="6" t="s">
        <v>1346</v>
      </c>
      <c r="D15" s="6" t="s">
        <v>1341</v>
      </c>
      <c r="E15" s="11">
        <v>46178</v>
      </c>
      <c r="F15" s="6" t="s">
        <v>1342</v>
      </c>
      <c r="G15" s="11">
        <v>46180</v>
      </c>
    </row>
    <row r="16" spans="1:7" x14ac:dyDescent="0.25">
      <c r="A16" s="6" t="s">
        <v>1372</v>
      </c>
      <c r="B16" s="6" t="s">
        <v>152</v>
      </c>
      <c r="C16" s="6" t="s">
        <v>1356</v>
      </c>
      <c r="D16" s="6" t="s">
        <v>1350</v>
      </c>
      <c r="E16" s="11">
        <v>46266</v>
      </c>
      <c r="F16" s="6" t="s">
        <v>1357</v>
      </c>
      <c r="G16" s="11"/>
    </row>
    <row r="17" spans="1:7" x14ac:dyDescent="0.25">
      <c r="A17" s="6" t="s">
        <v>1373</v>
      </c>
      <c r="B17" s="6" t="s">
        <v>158</v>
      </c>
      <c r="C17" s="6" t="s">
        <v>1374</v>
      </c>
      <c r="D17" s="6" t="s">
        <v>1341</v>
      </c>
      <c r="E17" s="11">
        <v>45928</v>
      </c>
      <c r="F17" s="6" t="s">
        <v>1342</v>
      </c>
      <c r="G17" s="11">
        <v>45929</v>
      </c>
    </row>
    <row r="18" spans="1:7" x14ac:dyDescent="0.25">
      <c r="A18" s="6" t="s">
        <v>1375</v>
      </c>
      <c r="B18" s="6" t="s">
        <v>158</v>
      </c>
      <c r="C18" s="6" t="s">
        <v>1376</v>
      </c>
      <c r="D18" s="6" t="s">
        <v>1341</v>
      </c>
      <c r="E18" s="11">
        <v>46029</v>
      </c>
      <c r="F18" s="6" t="s">
        <v>1342</v>
      </c>
      <c r="G18" s="11">
        <v>46033</v>
      </c>
    </row>
    <row r="19" spans="1:7" x14ac:dyDescent="0.25">
      <c r="A19" s="6" t="s">
        <v>1377</v>
      </c>
      <c r="B19" s="6" t="s">
        <v>158</v>
      </c>
      <c r="C19" s="6" t="s">
        <v>1378</v>
      </c>
      <c r="D19" s="6" t="s">
        <v>1341</v>
      </c>
      <c r="E19" s="11">
        <v>46131</v>
      </c>
      <c r="F19" s="6" t="s">
        <v>1342</v>
      </c>
      <c r="G19" s="11">
        <v>46134</v>
      </c>
    </row>
    <row r="20" spans="1:7" x14ac:dyDescent="0.25">
      <c r="A20" s="6" t="s">
        <v>1379</v>
      </c>
      <c r="B20" s="6" t="s">
        <v>158</v>
      </c>
      <c r="C20" s="6" t="s">
        <v>1364</v>
      </c>
      <c r="D20" s="6" t="s">
        <v>1350</v>
      </c>
      <c r="E20" s="11">
        <v>46232</v>
      </c>
      <c r="F20" s="6" t="s">
        <v>1342</v>
      </c>
      <c r="G20" s="11">
        <v>46234</v>
      </c>
    </row>
    <row r="21" spans="1:7" x14ac:dyDescent="0.25">
      <c r="A21" s="6" t="s">
        <v>1380</v>
      </c>
      <c r="B21" s="6" t="s">
        <v>164</v>
      </c>
      <c r="C21" s="6" t="s">
        <v>1366</v>
      </c>
      <c r="D21" s="6" t="s">
        <v>1341</v>
      </c>
      <c r="E21" s="11">
        <v>46283</v>
      </c>
      <c r="F21" s="6" t="s">
        <v>1357</v>
      </c>
      <c r="G21" s="11"/>
    </row>
    <row r="22" spans="1:7" x14ac:dyDescent="0.25">
      <c r="A22" s="6" t="s">
        <v>1381</v>
      </c>
      <c r="B22" s="6" t="s">
        <v>164</v>
      </c>
      <c r="C22" s="6" t="s">
        <v>1368</v>
      </c>
      <c r="D22" s="6" t="s">
        <v>1350</v>
      </c>
      <c r="E22" s="11">
        <v>46392</v>
      </c>
      <c r="F22" s="6" t="s">
        <v>1357</v>
      </c>
      <c r="G22" s="11"/>
    </row>
    <row r="23" spans="1:7" x14ac:dyDescent="0.25">
      <c r="A23" s="6" t="s">
        <v>1382</v>
      </c>
      <c r="B23" s="6" t="s">
        <v>170</v>
      </c>
      <c r="C23" s="6" t="s">
        <v>1383</v>
      </c>
      <c r="D23" s="6" t="s">
        <v>1341</v>
      </c>
      <c r="E23" s="11">
        <v>45834</v>
      </c>
      <c r="F23" s="6" t="s">
        <v>1342</v>
      </c>
      <c r="G23" s="11">
        <v>45837</v>
      </c>
    </row>
    <row r="24" spans="1:7" x14ac:dyDescent="0.25">
      <c r="A24" s="6" t="s">
        <v>1384</v>
      </c>
      <c r="B24" s="6" t="s">
        <v>170</v>
      </c>
      <c r="C24" s="6" t="s">
        <v>1385</v>
      </c>
      <c r="D24" s="6" t="s">
        <v>1341</v>
      </c>
      <c r="E24" s="11">
        <v>45982</v>
      </c>
      <c r="F24" s="6" t="s">
        <v>1342</v>
      </c>
      <c r="G24" s="11">
        <v>45982</v>
      </c>
    </row>
    <row r="25" spans="1:7" x14ac:dyDescent="0.25">
      <c r="A25" s="6" t="s">
        <v>1386</v>
      </c>
      <c r="B25" s="6" t="s">
        <v>170</v>
      </c>
      <c r="C25" s="6" t="s">
        <v>1387</v>
      </c>
      <c r="D25" s="6" t="s">
        <v>1341</v>
      </c>
      <c r="E25" s="11">
        <v>46129</v>
      </c>
      <c r="F25" s="6" t="s">
        <v>1342</v>
      </c>
      <c r="G25" s="11">
        <v>46126</v>
      </c>
    </row>
    <row r="26" spans="1:7" x14ac:dyDescent="0.25">
      <c r="A26" s="6" t="s">
        <v>1388</v>
      </c>
      <c r="B26" s="6" t="s">
        <v>174</v>
      </c>
      <c r="C26" s="6" t="s">
        <v>1383</v>
      </c>
      <c r="D26" s="6" t="s">
        <v>1341</v>
      </c>
      <c r="E26" s="11">
        <v>45728</v>
      </c>
      <c r="F26" s="6" t="s">
        <v>1342</v>
      </c>
      <c r="G26" s="11">
        <v>45726</v>
      </c>
    </row>
    <row r="27" spans="1:7" x14ac:dyDescent="0.25">
      <c r="A27" s="6" t="s">
        <v>1389</v>
      </c>
      <c r="B27" s="6" t="s">
        <v>174</v>
      </c>
      <c r="C27" s="6" t="s">
        <v>1385</v>
      </c>
      <c r="D27" s="6" t="s">
        <v>1341</v>
      </c>
      <c r="E27" s="11">
        <v>45902</v>
      </c>
      <c r="F27" s="6" t="s">
        <v>1342</v>
      </c>
      <c r="G27" s="11">
        <v>45899</v>
      </c>
    </row>
    <row r="28" spans="1:7" x14ac:dyDescent="0.25">
      <c r="A28" s="6" t="s">
        <v>1390</v>
      </c>
      <c r="B28" s="6" t="s">
        <v>174</v>
      </c>
      <c r="C28" s="6" t="s">
        <v>1387</v>
      </c>
      <c r="D28" s="6" t="s">
        <v>1341</v>
      </c>
      <c r="E28" s="11">
        <v>46075</v>
      </c>
      <c r="F28" s="6" t="s">
        <v>1342</v>
      </c>
      <c r="G28" s="11">
        <v>46075</v>
      </c>
    </row>
    <row r="29" spans="1:7" x14ac:dyDescent="0.25">
      <c r="A29" s="6" t="s">
        <v>1391</v>
      </c>
      <c r="B29" s="6" t="s">
        <v>179</v>
      </c>
      <c r="C29" s="6" t="s">
        <v>1366</v>
      </c>
      <c r="D29" s="6" t="s">
        <v>1341</v>
      </c>
      <c r="E29" s="11">
        <v>46232</v>
      </c>
      <c r="F29" s="6" t="s">
        <v>1342</v>
      </c>
      <c r="G29" s="11">
        <v>46232</v>
      </c>
    </row>
    <row r="30" spans="1:7" x14ac:dyDescent="0.25">
      <c r="A30" s="6" t="s">
        <v>1392</v>
      </c>
      <c r="B30" s="6" t="s">
        <v>179</v>
      </c>
      <c r="C30" s="6" t="s">
        <v>1368</v>
      </c>
      <c r="D30" s="6" t="s">
        <v>1350</v>
      </c>
      <c r="E30" s="11">
        <v>46342</v>
      </c>
      <c r="F30" s="6" t="s">
        <v>1357</v>
      </c>
      <c r="G30" s="11"/>
    </row>
    <row r="31" spans="1:7" x14ac:dyDescent="0.25">
      <c r="A31" s="6" t="s">
        <v>1393</v>
      </c>
      <c r="B31" s="6" t="s">
        <v>185</v>
      </c>
      <c r="C31" s="6" t="s">
        <v>1366</v>
      </c>
      <c r="D31" s="6" t="s">
        <v>1341</v>
      </c>
      <c r="E31" s="11">
        <v>46257</v>
      </c>
      <c r="F31" s="6" t="s">
        <v>1354</v>
      </c>
      <c r="G31" s="11"/>
    </row>
    <row r="32" spans="1:7" x14ac:dyDescent="0.25">
      <c r="A32" s="6" t="s">
        <v>1394</v>
      </c>
      <c r="B32" s="6" t="s">
        <v>185</v>
      </c>
      <c r="C32" s="6" t="s">
        <v>1368</v>
      </c>
      <c r="D32" s="6" t="s">
        <v>1350</v>
      </c>
      <c r="E32" s="11">
        <v>46368</v>
      </c>
      <c r="F32" s="6" t="s">
        <v>1357</v>
      </c>
      <c r="G32" s="11"/>
    </row>
    <row r="33" spans="1:7" x14ac:dyDescent="0.25">
      <c r="A33" s="6" t="s">
        <v>1395</v>
      </c>
      <c r="B33" s="6" t="s">
        <v>189</v>
      </c>
      <c r="C33" s="6" t="s">
        <v>1396</v>
      </c>
      <c r="D33" s="6" t="s">
        <v>1350</v>
      </c>
      <c r="E33" s="11">
        <v>46230</v>
      </c>
      <c r="F33" s="6" t="s">
        <v>1342</v>
      </c>
      <c r="G33" s="11">
        <v>46229</v>
      </c>
    </row>
    <row r="34" spans="1:7" x14ac:dyDescent="0.25">
      <c r="A34" s="6" t="s">
        <v>1397</v>
      </c>
      <c r="B34" s="6" t="s">
        <v>189</v>
      </c>
      <c r="C34" s="6" t="s">
        <v>1398</v>
      </c>
      <c r="D34" s="6" t="s">
        <v>1341</v>
      </c>
      <c r="E34" s="11">
        <v>46327</v>
      </c>
      <c r="F34" s="6" t="s">
        <v>1357</v>
      </c>
      <c r="G34" s="11"/>
    </row>
    <row r="35" spans="1:7" x14ac:dyDescent="0.25">
      <c r="A35" s="6" t="s">
        <v>1399</v>
      </c>
      <c r="B35" s="6" t="s">
        <v>195</v>
      </c>
      <c r="C35" s="6" t="s">
        <v>1400</v>
      </c>
      <c r="D35" s="6" t="s">
        <v>1350</v>
      </c>
      <c r="E35" s="11">
        <v>46438</v>
      </c>
      <c r="F35" s="6" t="s">
        <v>1357</v>
      </c>
      <c r="G35" s="11"/>
    </row>
    <row r="36" spans="1:7" x14ac:dyDescent="0.25">
      <c r="A36" s="6" t="s">
        <v>1401</v>
      </c>
      <c r="B36" s="6" t="s">
        <v>199</v>
      </c>
      <c r="C36" s="6" t="s">
        <v>1366</v>
      </c>
      <c r="D36" s="6" t="s">
        <v>1341</v>
      </c>
      <c r="E36" s="11">
        <v>46284</v>
      </c>
      <c r="F36" s="6" t="s">
        <v>1357</v>
      </c>
      <c r="G36" s="11"/>
    </row>
    <row r="37" spans="1:7" x14ac:dyDescent="0.25">
      <c r="A37" s="6" t="s">
        <v>1402</v>
      </c>
      <c r="B37" s="6" t="s">
        <v>199</v>
      </c>
      <c r="C37" s="6" t="s">
        <v>1368</v>
      </c>
      <c r="D37" s="6" t="s">
        <v>1350</v>
      </c>
      <c r="E37" s="11">
        <v>46369</v>
      </c>
      <c r="F37" s="6" t="s">
        <v>1357</v>
      </c>
      <c r="G37" s="11"/>
    </row>
    <row r="38" spans="1:7" x14ac:dyDescent="0.25">
      <c r="A38" s="6" t="s">
        <v>1403</v>
      </c>
      <c r="B38" s="6" t="s">
        <v>203</v>
      </c>
      <c r="C38" s="6" t="s">
        <v>1396</v>
      </c>
      <c r="D38" s="6" t="s">
        <v>1350</v>
      </c>
      <c r="E38" s="11">
        <v>46201</v>
      </c>
      <c r="F38" s="6" t="s">
        <v>1342</v>
      </c>
      <c r="G38" s="11">
        <v>46203</v>
      </c>
    </row>
    <row r="39" spans="1:7" x14ac:dyDescent="0.25">
      <c r="A39" s="6" t="s">
        <v>1404</v>
      </c>
      <c r="B39" s="6" t="s">
        <v>203</v>
      </c>
      <c r="C39" s="6" t="s">
        <v>1398</v>
      </c>
      <c r="D39" s="6" t="s">
        <v>1341</v>
      </c>
      <c r="E39" s="11">
        <v>46311</v>
      </c>
      <c r="F39" s="6" t="s">
        <v>1357</v>
      </c>
      <c r="G39" s="11"/>
    </row>
    <row r="40" spans="1:7" x14ac:dyDescent="0.25">
      <c r="A40" s="6" t="s">
        <v>1405</v>
      </c>
      <c r="B40" s="6" t="s">
        <v>207</v>
      </c>
      <c r="C40" s="6" t="s">
        <v>1340</v>
      </c>
      <c r="D40" s="6" t="s">
        <v>1341</v>
      </c>
      <c r="E40" s="11">
        <v>46134</v>
      </c>
      <c r="F40" s="6" t="s">
        <v>1342</v>
      </c>
      <c r="G40" s="11">
        <v>46135</v>
      </c>
    </row>
    <row r="41" spans="1:7" x14ac:dyDescent="0.25">
      <c r="A41" s="6" t="s">
        <v>1406</v>
      </c>
      <c r="B41" s="6" t="s">
        <v>207</v>
      </c>
      <c r="C41" s="6" t="s">
        <v>1344</v>
      </c>
      <c r="D41" s="6" t="s">
        <v>1341</v>
      </c>
      <c r="E41" s="11">
        <v>46194</v>
      </c>
      <c r="F41" s="6" t="s">
        <v>1342</v>
      </c>
      <c r="G41" s="11">
        <v>46197</v>
      </c>
    </row>
    <row r="42" spans="1:7" x14ac:dyDescent="0.25">
      <c r="A42" s="6" t="s">
        <v>1407</v>
      </c>
      <c r="B42" s="6" t="s">
        <v>207</v>
      </c>
      <c r="C42" s="6" t="s">
        <v>1346</v>
      </c>
      <c r="D42" s="6" t="s">
        <v>1341</v>
      </c>
      <c r="E42" s="11">
        <v>46255</v>
      </c>
      <c r="F42" s="6" t="s">
        <v>1354</v>
      </c>
      <c r="G42" s="11"/>
    </row>
    <row r="43" spans="1:7" x14ac:dyDescent="0.25">
      <c r="A43" s="6" t="s">
        <v>1408</v>
      </c>
      <c r="B43" s="6" t="s">
        <v>207</v>
      </c>
      <c r="C43" s="6" t="s">
        <v>1356</v>
      </c>
      <c r="D43" s="6" t="s">
        <v>1350</v>
      </c>
      <c r="E43" s="11">
        <v>46316</v>
      </c>
      <c r="F43" s="6" t="s">
        <v>1357</v>
      </c>
      <c r="G43" s="11"/>
    </row>
    <row r="44" spans="1:7" x14ac:dyDescent="0.25">
      <c r="A44" s="6" t="s">
        <v>1409</v>
      </c>
      <c r="B44" s="6" t="s">
        <v>211</v>
      </c>
      <c r="C44" s="6" t="s">
        <v>1340</v>
      </c>
      <c r="D44" s="6" t="s">
        <v>1341</v>
      </c>
      <c r="E44" s="11">
        <v>46041</v>
      </c>
      <c r="F44" s="6" t="s">
        <v>1342</v>
      </c>
      <c r="G44" s="11">
        <v>46041</v>
      </c>
    </row>
    <row r="45" spans="1:7" x14ac:dyDescent="0.25">
      <c r="A45" s="6" t="s">
        <v>1410</v>
      </c>
      <c r="B45" s="6" t="s">
        <v>211</v>
      </c>
      <c r="C45" s="6" t="s">
        <v>1344</v>
      </c>
      <c r="D45" s="6" t="s">
        <v>1341</v>
      </c>
      <c r="E45" s="11">
        <v>46122</v>
      </c>
      <c r="F45" s="6" t="s">
        <v>1342</v>
      </c>
      <c r="G45" s="11">
        <v>46123</v>
      </c>
    </row>
    <row r="46" spans="1:7" x14ac:dyDescent="0.25">
      <c r="A46" s="6" t="s">
        <v>1411</v>
      </c>
      <c r="B46" s="6" t="s">
        <v>211</v>
      </c>
      <c r="C46" s="6" t="s">
        <v>1346</v>
      </c>
      <c r="D46" s="6" t="s">
        <v>1341</v>
      </c>
      <c r="E46" s="11">
        <v>46203</v>
      </c>
      <c r="F46" s="6" t="s">
        <v>1342</v>
      </c>
      <c r="G46" s="11">
        <v>46208</v>
      </c>
    </row>
    <row r="47" spans="1:7" x14ac:dyDescent="0.25">
      <c r="A47" s="6" t="s">
        <v>1412</v>
      </c>
      <c r="B47" s="6" t="s">
        <v>211</v>
      </c>
      <c r="C47" s="6" t="s">
        <v>1356</v>
      </c>
      <c r="D47" s="6" t="s">
        <v>1350</v>
      </c>
      <c r="E47" s="11">
        <v>46284</v>
      </c>
      <c r="F47" s="6" t="s">
        <v>1357</v>
      </c>
      <c r="G47" s="11"/>
    </row>
    <row r="48" spans="1:7" x14ac:dyDescent="0.25">
      <c r="A48" s="6" t="s">
        <v>1413</v>
      </c>
      <c r="B48" s="6" t="s">
        <v>214</v>
      </c>
      <c r="C48" s="6" t="s">
        <v>1340</v>
      </c>
      <c r="D48" s="6" t="s">
        <v>1341</v>
      </c>
      <c r="E48" s="11">
        <v>46054</v>
      </c>
      <c r="F48" s="6" t="s">
        <v>1342</v>
      </c>
      <c r="G48" s="11">
        <v>46055</v>
      </c>
    </row>
    <row r="49" spans="1:7" x14ac:dyDescent="0.25">
      <c r="A49" s="6" t="s">
        <v>1414</v>
      </c>
      <c r="B49" s="6" t="s">
        <v>214</v>
      </c>
      <c r="C49" s="6" t="s">
        <v>1344</v>
      </c>
      <c r="D49" s="6" t="s">
        <v>1341</v>
      </c>
      <c r="E49" s="11">
        <v>46142</v>
      </c>
      <c r="F49" s="6" t="s">
        <v>1342</v>
      </c>
      <c r="G49" s="11">
        <v>46141</v>
      </c>
    </row>
    <row r="50" spans="1:7" x14ac:dyDescent="0.25">
      <c r="A50" s="6" t="s">
        <v>1415</v>
      </c>
      <c r="B50" s="6" t="s">
        <v>214</v>
      </c>
      <c r="C50" s="6" t="s">
        <v>1346</v>
      </c>
      <c r="D50" s="6" t="s">
        <v>1341</v>
      </c>
      <c r="E50" s="11">
        <v>46229</v>
      </c>
      <c r="F50" s="6" t="s">
        <v>1342</v>
      </c>
      <c r="G50" s="11">
        <v>46227</v>
      </c>
    </row>
    <row r="51" spans="1:7" x14ac:dyDescent="0.25">
      <c r="A51" s="6" t="s">
        <v>1416</v>
      </c>
      <c r="B51" s="6" t="s">
        <v>214</v>
      </c>
      <c r="C51" s="6" t="s">
        <v>1356</v>
      </c>
      <c r="D51" s="6" t="s">
        <v>1350</v>
      </c>
      <c r="E51" s="11">
        <v>46317</v>
      </c>
      <c r="F51" s="6" t="s">
        <v>1357</v>
      </c>
      <c r="G51" s="11"/>
    </row>
    <row r="52" spans="1:7" x14ac:dyDescent="0.25">
      <c r="A52" s="6" t="s">
        <v>1417</v>
      </c>
      <c r="B52" s="6" t="s">
        <v>217</v>
      </c>
      <c r="C52" s="6" t="s">
        <v>1340</v>
      </c>
      <c r="D52" s="6" t="s">
        <v>1341</v>
      </c>
      <c r="E52" s="11">
        <v>46118</v>
      </c>
      <c r="F52" s="6" t="s">
        <v>1342</v>
      </c>
      <c r="G52" s="11">
        <v>46120</v>
      </c>
    </row>
    <row r="53" spans="1:7" x14ac:dyDescent="0.25">
      <c r="A53" s="6" t="s">
        <v>1418</v>
      </c>
      <c r="B53" s="6" t="s">
        <v>217</v>
      </c>
      <c r="C53" s="6" t="s">
        <v>1344</v>
      </c>
      <c r="D53" s="6" t="s">
        <v>1341</v>
      </c>
      <c r="E53" s="11">
        <v>46199</v>
      </c>
      <c r="F53" s="6" t="s">
        <v>1342</v>
      </c>
      <c r="G53" s="11">
        <v>46203</v>
      </c>
    </row>
    <row r="54" spans="1:7" x14ac:dyDescent="0.25">
      <c r="A54" s="6" t="s">
        <v>1419</v>
      </c>
      <c r="B54" s="6" t="s">
        <v>217</v>
      </c>
      <c r="C54" s="6" t="s">
        <v>1346</v>
      </c>
      <c r="D54" s="6" t="s">
        <v>1341</v>
      </c>
      <c r="E54" s="11">
        <v>46280</v>
      </c>
      <c r="F54" s="6" t="s">
        <v>1357</v>
      </c>
      <c r="G54" s="11"/>
    </row>
    <row r="55" spans="1:7" x14ac:dyDescent="0.25">
      <c r="A55" s="6" t="s">
        <v>1420</v>
      </c>
      <c r="B55" s="6" t="s">
        <v>217</v>
      </c>
      <c r="C55" s="6" t="s">
        <v>1356</v>
      </c>
      <c r="D55" s="6" t="s">
        <v>1350</v>
      </c>
      <c r="E55" s="11">
        <v>46361</v>
      </c>
      <c r="F55" s="6" t="s">
        <v>1357</v>
      </c>
      <c r="G55" s="11"/>
    </row>
    <row r="56" spans="1:7" x14ac:dyDescent="0.25">
      <c r="A56" s="6" t="s">
        <v>1421</v>
      </c>
      <c r="B56" s="6" t="s">
        <v>220</v>
      </c>
      <c r="C56" s="6" t="s">
        <v>1340</v>
      </c>
      <c r="D56" s="6" t="s">
        <v>1341</v>
      </c>
      <c r="E56" s="11">
        <v>45996</v>
      </c>
      <c r="F56" s="6" t="s">
        <v>1342</v>
      </c>
      <c r="G56" s="11">
        <v>45997</v>
      </c>
    </row>
    <row r="57" spans="1:7" x14ac:dyDescent="0.25">
      <c r="A57" s="6" t="s">
        <v>1422</v>
      </c>
      <c r="B57" s="6" t="s">
        <v>220</v>
      </c>
      <c r="C57" s="6" t="s">
        <v>1344</v>
      </c>
      <c r="D57" s="6" t="s">
        <v>1341</v>
      </c>
      <c r="E57" s="11">
        <v>46084</v>
      </c>
      <c r="F57" s="6" t="s">
        <v>1342</v>
      </c>
      <c r="G57" s="11">
        <v>46085</v>
      </c>
    </row>
    <row r="58" spans="1:7" x14ac:dyDescent="0.25">
      <c r="A58" s="6" t="s">
        <v>1423</v>
      </c>
      <c r="B58" s="6" t="s">
        <v>220</v>
      </c>
      <c r="C58" s="6" t="s">
        <v>1346</v>
      </c>
      <c r="D58" s="6" t="s">
        <v>1341</v>
      </c>
      <c r="E58" s="11">
        <v>46171</v>
      </c>
      <c r="F58" s="6" t="s">
        <v>1342</v>
      </c>
      <c r="G58" s="11">
        <v>46168</v>
      </c>
    </row>
    <row r="59" spans="1:7" x14ac:dyDescent="0.25">
      <c r="A59" s="6" t="s">
        <v>1424</v>
      </c>
      <c r="B59" s="6" t="s">
        <v>220</v>
      </c>
      <c r="C59" s="6" t="s">
        <v>1356</v>
      </c>
      <c r="D59" s="6" t="s">
        <v>1350</v>
      </c>
      <c r="E59" s="11">
        <v>46259</v>
      </c>
      <c r="F59" s="6" t="s">
        <v>1354</v>
      </c>
      <c r="G59" s="11"/>
    </row>
    <row r="60" spans="1:7" x14ac:dyDescent="0.25">
      <c r="A60" s="6" t="s">
        <v>1425</v>
      </c>
      <c r="B60" s="6" t="s">
        <v>224</v>
      </c>
      <c r="C60" s="6" t="s">
        <v>1340</v>
      </c>
      <c r="D60" s="6" t="s">
        <v>1341</v>
      </c>
      <c r="E60" s="11">
        <v>46146</v>
      </c>
      <c r="F60" s="6" t="s">
        <v>1342</v>
      </c>
      <c r="G60" s="11">
        <v>46145</v>
      </c>
    </row>
    <row r="61" spans="1:7" x14ac:dyDescent="0.25">
      <c r="A61" s="6" t="s">
        <v>1426</v>
      </c>
      <c r="B61" s="6" t="s">
        <v>224</v>
      </c>
      <c r="C61" s="6" t="s">
        <v>1344</v>
      </c>
      <c r="D61" s="6" t="s">
        <v>1341</v>
      </c>
      <c r="E61" s="11">
        <v>46227</v>
      </c>
      <c r="F61" s="6" t="s">
        <v>1342</v>
      </c>
      <c r="G61" s="11">
        <v>46231</v>
      </c>
    </row>
    <row r="62" spans="1:7" x14ac:dyDescent="0.25">
      <c r="A62" s="6" t="s">
        <v>1427</v>
      </c>
      <c r="B62" s="6" t="s">
        <v>224</v>
      </c>
      <c r="C62" s="6" t="s">
        <v>1346</v>
      </c>
      <c r="D62" s="6" t="s">
        <v>1341</v>
      </c>
      <c r="E62" s="11">
        <v>46308</v>
      </c>
      <c r="F62" s="6" t="s">
        <v>1357</v>
      </c>
      <c r="G62" s="11"/>
    </row>
    <row r="63" spans="1:7" x14ac:dyDescent="0.25">
      <c r="A63" s="6" t="s">
        <v>1428</v>
      </c>
      <c r="B63" s="6" t="s">
        <v>224</v>
      </c>
      <c r="C63" s="6" t="s">
        <v>1356</v>
      </c>
      <c r="D63" s="6" t="s">
        <v>1350</v>
      </c>
      <c r="E63" s="11">
        <v>46389</v>
      </c>
      <c r="F63" s="6" t="s">
        <v>1357</v>
      </c>
      <c r="G63" s="11"/>
    </row>
    <row r="64" spans="1:7" x14ac:dyDescent="0.25">
      <c r="A64" s="6" t="s">
        <v>1429</v>
      </c>
      <c r="B64" s="6" t="s">
        <v>228</v>
      </c>
      <c r="C64" s="6" t="s">
        <v>1340</v>
      </c>
      <c r="D64" s="6" t="s">
        <v>1341</v>
      </c>
      <c r="E64" s="11">
        <v>46132</v>
      </c>
      <c r="F64" s="6" t="s">
        <v>1342</v>
      </c>
      <c r="G64" s="11">
        <v>46131</v>
      </c>
    </row>
    <row r="65" spans="1:7" x14ac:dyDescent="0.25">
      <c r="A65" s="6" t="s">
        <v>1430</v>
      </c>
      <c r="B65" s="6" t="s">
        <v>228</v>
      </c>
      <c r="C65" s="6" t="s">
        <v>1344</v>
      </c>
      <c r="D65" s="6" t="s">
        <v>1341</v>
      </c>
      <c r="E65" s="11">
        <v>46206</v>
      </c>
      <c r="F65" s="6" t="s">
        <v>1342</v>
      </c>
      <c r="G65" s="11">
        <v>46204</v>
      </c>
    </row>
    <row r="66" spans="1:7" x14ac:dyDescent="0.25">
      <c r="A66" s="6" t="s">
        <v>1431</v>
      </c>
      <c r="B66" s="6" t="s">
        <v>228</v>
      </c>
      <c r="C66" s="6" t="s">
        <v>1346</v>
      </c>
      <c r="D66" s="6" t="s">
        <v>1341</v>
      </c>
      <c r="E66" s="11">
        <v>46281</v>
      </c>
      <c r="F66" s="6" t="s">
        <v>1357</v>
      </c>
      <c r="G66" s="11"/>
    </row>
    <row r="67" spans="1:7" x14ac:dyDescent="0.25">
      <c r="A67" s="6" t="s">
        <v>1432</v>
      </c>
      <c r="B67" s="6" t="s">
        <v>228</v>
      </c>
      <c r="C67" s="6" t="s">
        <v>1356</v>
      </c>
      <c r="D67" s="6" t="s">
        <v>1350</v>
      </c>
      <c r="E67" s="11">
        <v>46355</v>
      </c>
      <c r="F67" s="6" t="s">
        <v>1357</v>
      </c>
      <c r="G67" s="11"/>
    </row>
    <row r="68" spans="1:7" x14ac:dyDescent="0.25">
      <c r="A68" s="6" t="s">
        <v>1433</v>
      </c>
      <c r="B68" s="6" t="s">
        <v>231</v>
      </c>
      <c r="C68" s="6" t="s">
        <v>1374</v>
      </c>
      <c r="D68" s="6" t="s">
        <v>1341</v>
      </c>
      <c r="E68" s="11">
        <v>45887</v>
      </c>
      <c r="F68" s="6" t="s">
        <v>1342</v>
      </c>
      <c r="G68" s="11">
        <v>45885</v>
      </c>
    </row>
    <row r="69" spans="1:7" x14ac:dyDescent="0.25">
      <c r="A69" s="6" t="s">
        <v>1434</v>
      </c>
      <c r="B69" s="6" t="s">
        <v>231</v>
      </c>
      <c r="C69" s="6" t="s">
        <v>1376</v>
      </c>
      <c r="D69" s="6" t="s">
        <v>1341</v>
      </c>
      <c r="E69" s="11">
        <v>46002</v>
      </c>
      <c r="F69" s="6" t="s">
        <v>1342</v>
      </c>
      <c r="G69" s="11">
        <v>46006</v>
      </c>
    </row>
    <row r="70" spans="1:7" x14ac:dyDescent="0.25">
      <c r="A70" s="6" t="s">
        <v>1435</v>
      </c>
      <c r="B70" s="6" t="s">
        <v>231</v>
      </c>
      <c r="C70" s="6" t="s">
        <v>1378</v>
      </c>
      <c r="D70" s="6" t="s">
        <v>1341</v>
      </c>
      <c r="E70" s="11">
        <v>46117</v>
      </c>
      <c r="F70" s="6" t="s">
        <v>1342</v>
      </c>
      <c r="G70" s="11">
        <v>46117</v>
      </c>
    </row>
    <row r="71" spans="1:7" x14ac:dyDescent="0.25">
      <c r="A71" s="6" t="s">
        <v>1436</v>
      </c>
      <c r="B71" s="6" t="s">
        <v>231</v>
      </c>
      <c r="C71" s="6" t="s">
        <v>1364</v>
      </c>
      <c r="D71" s="6" t="s">
        <v>1350</v>
      </c>
      <c r="E71" s="11">
        <v>46232</v>
      </c>
      <c r="F71" s="6" t="s">
        <v>1342</v>
      </c>
      <c r="G71" s="11">
        <v>46232</v>
      </c>
    </row>
    <row r="72" spans="1:7" x14ac:dyDescent="0.25">
      <c r="A72" s="6" t="s">
        <v>1437</v>
      </c>
      <c r="B72" s="6" t="s">
        <v>235</v>
      </c>
      <c r="C72" s="6" t="s">
        <v>1374</v>
      </c>
      <c r="D72" s="6" t="s">
        <v>1341</v>
      </c>
      <c r="E72" s="11">
        <v>45821</v>
      </c>
      <c r="F72" s="6" t="s">
        <v>1342</v>
      </c>
      <c r="G72" s="11">
        <v>45822</v>
      </c>
    </row>
    <row r="73" spans="1:7" x14ac:dyDescent="0.25">
      <c r="A73" s="6" t="s">
        <v>1438</v>
      </c>
      <c r="B73" s="6" t="s">
        <v>235</v>
      </c>
      <c r="C73" s="6" t="s">
        <v>1376</v>
      </c>
      <c r="D73" s="6" t="s">
        <v>1341</v>
      </c>
      <c r="E73" s="11">
        <v>45949</v>
      </c>
      <c r="F73" s="6" t="s">
        <v>1342</v>
      </c>
      <c r="G73" s="11">
        <v>45948</v>
      </c>
    </row>
    <row r="74" spans="1:7" x14ac:dyDescent="0.25">
      <c r="A74" s="6" t="s">
        <v>1439</v>
      </c>
      <c r="B74" s="6" t="s">
        <v>235</v>
      </c>
      <c r="C74" s="6" t="s">
        <v>1378</v>
      </c>
      <c r="D74" s="6" t="s">
        <v>1341</v>
      </c>
      <c r="E74" s="11">
        <v>46078</v>
      </c>
      <c r="F74" s="6" t="s">
        <v>1342</v>
      </c>
      <c r="G74" s="11">
        <v>46077</v>
      </c>
    </row>
    <row r="75" spans="1:7" x14ac:dyDescent="0.25">
      <c r="A75" s="6" t="s">
        <v>1440</v>
      </c>
      <c r="B75" s="6" t="s">
        <v>235</v>
      </c>
      <c r="C75" s="6" t="s">
        <v>1364</v>
      </c>
      <c r="D75" s="6" t="s">
        <v>1350</v>
      </c>
      <c r="E75" s="11">
        <v>46206</v>
      </c>
      <c r="F75" s="6" t="s">
        <v>1342</v>
      </c>
      <c r="G75" s="11">
        <v>46207</v>
      </c>
    </row>
    <row r="76" spans="1:7" x14ac:dyDescent="0.25">
      <c r="A76" s="6" t="s">
        <v>1441</v>
      </c>
      <c r="B76" s="6" t="s">
        <v>238</v>
      </c>
      <c r="C76" s="6" t="s">
        <v>1374</v>
      </c>
      <c r="D76" s="6" t="s">
        <v>1341</v>
      </c>
      <c r="E76" s="11">
        <v>46023</v>
      </c>
      <c r="F76" s="6" t="s">
        <v>1342</v>
      </c>
      <c r="G76" s="11">
        <v>46020</v>
      </c>
    </row>
    <row r="77" spans="1:7" x14ac:dyDescent="0.25">
      <c r="A77" s="6" t="s">
        <v>1442</v>
      </c>
      <c r="B77" s="6" t="s">
        <v>238</v>
      </c>
      <c r="C77" s="6" t="s">
        <v>1376</v>
      </c>
      <c r="D77" s="6" t="s">
        <v>1341</v>
      </c>
      <c r="E77" s="11">
        <v>46117</v>
      </c>
      <c r="F77" s="6" t="s">
        <v>1342</v>
      </c>
      <c r="G77" s="11">
        <v>46120</v>
      </c>
    </row>
    <row r="78" spans="1:7" x14ac:dyDescent="0.25">
      <c r="A78" s="6" t="s">
        <v>1443</v>
      </c>
      <c r="B78" s="6" t="s">
        <v>238</v>
      </c>
      <c r="C78" s="6" t="s">
        <v>1378</v>
      </c>
      <c r="D78" s="6" t="s">
        <v>1341</v>
      </c>
      <c r="E78" s="11">
        <v>46212</v>
      </c>
      <c r="F78" s="6" t="s">
        <v>1342</v>
      </c>
      <c r="G78" s="11">
        <v>46216</v>
      </c>
    </row>
    <row r="79" spans="1:7" x14ac:dyDescent="0.25">
      <c r="A79" s="6" t="s">
        <v>1444</v>
      </c>
      <c r="B79" s="6" t="s">
        <v>238</v>
      </c>
      <c r="C79" s="6" t="s">
        <v>1364</v>
      </c>
      <c r="D79" s="6" t="s">
        <v>1350</v>
      </c>
      <c r="E79" s="11">
        <v>46307</v>
      </c>
      <c r="F79" s="6" t="s">
        <v>1357</v>
      </c>
      <c r="G79" s="11"/>
    </row>
    <row r="80" spans="1:7" x14ac:dyDescent="0.25">
      <c r="A80" s="6" t="s">
        <v>1445</v>
      </c>
      <c r="B80" s="6" t="s">
        <v>241</v>
      </c>
      <c r="C80" s="6" t="s">
        <v>1374</v>
      </c>
      <c r="D80" s="6" t="s">
        <v>1341</v>
      </c>
      <c r="E80" s="11">
        <v>45936</v>
      </c>
      <c r="F80" s="6" t="s">
        <v>1342</v>
      </c>
      <c r="G80" s="11">
        <v>45935</v>
      </c>
    </row>
    <row r="81" spans="1:7" x14ac:dyDescent="0.25">
      <c r="A81" s="6" t="s">
        <v>1446</v>
      </c>
      <c r="B81" s="6" t="s">
        <v>241</v>
      </c>
      <c r="C81" s="6" t="s">
        <v>1376</v>
      </c>
      <c r="D81" s="6" t="s">
        <v>1341</v>
      </c>
      <c r="E81" s="11">
        <v>46044</v>
      </c>
      <c r="F81" s="6" t="s">
        <v>1342</v>
      </c>
      <c r="G81" s="11">
        <v>46042</v>
      </c>
    </row>
    <row r="82" spans="1:7" x14ac:dyDescent="0.25">
      <c r="A82" s="6" t="s">
        <v>1447</v>
      </c>
      <c r="B82" s="6" t="s">
        <v>241</v>
      </c>
      <c r="C82" s="6" t="s">
        <v>1378</v>
      </c>
      <c r="D82" s="6" t="s">
        <v>1341</v>
      </c>
      <c r="E82" s="11">
        <v>46153</v>
      </c>
      <c r="F82" s="6" t="s">
        <v>1342</v>
      </c>
      <c r="G82" s="11">
        <v>46153</v>
      </c>
    </row>
    <row r="83" spans="1:7" x14ac:dyDescent="0.25">
      <c r="A83" s="6" t="s">
        <v>1448</v>
      </c>
      <c r="B83" s="6" t="s">
        <v>241</v>
      </c>
      <c r="C83" s="6" t="s">
        <v>1364</v>
      </c>
      <c r="D83" s="6" t="s">
        <v>1350</v>
      </c>
      <c r="E83" s="11">
        <v>46261</v>
      </c>
      <c r="F83" s="6" t="s">
        <v>1357</v>
      </c>
      <c r="G83" s="11"/>
    </row>
    <row r="84" spans="1:7" x14ac:dyDescent="0.25">
      <c r="A84" s="6" t="s">
        <v>1449</v>
      </c>
      <c r="B84" s="6" t="s">
        <v>244</v>
      </c>
      <c r="C84" s="6" t="s">
        <v>1374</v>
      </c>
      <c r="D84" s="6" t="s">
        <v>1341</v>
      </c>
      <c r="E84" s="11">
        <v>45915</v>
      </c>
      <c r="F84" s="6" t="s">
        <v>1342</v>
      </c>
      <c r="G84" s="11">
        <v>45914</v>
      </c>
    </row>
    <row r="85" spans="1:7" x14ac:dyDescent="0.25">
      <c r="A85" s="6" t="s">
        <v>1450</v>
      </c>
      <c r="B85" s="6" t="s">
        <v>244</v>
      </c>
      <c r="C85" s="6" t="s">
        <v>1376</v>
      </c>
      <c r="D85" s="6" t="s">
        <v>1341</v>
      </c>
      <c r="E85" s="11">
        <v>46024</v>
      </c>
      <c r="F85" s="6" t="s">
        <v>1342</v>
      </c>
      <c r="G85" s="11">
        <v>46021</v>
      </c>
    </row>
    <row r="86" spans="1:7" x14ac:dyDescent="0.25">
      <c r="A86" s="6" t="s">
        <v>1451</v>
      </c>
      <c r="B86" s="6" t="s">
        <v>244</v>
      </c>
      <c r="C86" s="6" t="s">
        <v>1378</v>
      </c>
      <c r="D86" s="6" t="s">
        <v>1341</v>
      </c>
      <c r="E86" s="11">
        <v>46132</v>
      </c>
      <c r="F86" s="6" t="s">
        <v>1342</v>
      </c>
      <c r="G86" s="11">
        <v>46131</v>
      </c>
    </row>
    <row r="87" spans="1:7" x14ac:dyDescent="0.25">
      <c r="A87" s="6" t="s">
        <v>1452</v>
      </c>
      <c r="B87" s="6" t="s">
        <v>244</v>
      </c>
      <c r="C87" s="6" t="s">
        <v>1364</v>
      </c>
      <c r="D87" s="6" t="s">
        <v>1350</v>
      </c>
      <c r="E87" s="11">
        <v>46241</v>
      </c>
      <c r="F87" s="6" t="s">
        <v>1342</v>
      </c>
      <c r="G87" s="11">
        <v>46244</v>
      </c>
    </row>
    <row r="88" spans="1:7" x14ac:dyDescent="0.25">
      <c r="A88" s="6" t="s">
        <v>1453</v>
      </c>
      <c r="B88" s="6" t="s">
        <v>247</v>
      </c>
      <c r="C88" s="6" t="s">
        <v>1383</v>
      </c>
      <c r="D88" s="6" t="s">
        <v>1341</v>
      </c>
      <c r="E88" s="11">
        <v>45806</v>
      </c>
      <c r="F88" s="6" t="s">
        <v>1342</v>
      </c>
      <c r="G88" s="11">
        <v>45810</v>
      </c>
    </row>
    <row r="89" spans="1:7" x14ac:dyDescent="0.25">
      <c r="A89" s="6" t="s">
        <v>1454</v>
      </c>
      <c r="B89" s="6" t="s">
        <v>247</v>
      </c>
      <c r="C89" s="6" t="s">
        <v>1385</v>
      </c>
      <c r="D89" s="6" t="s">
        <v>1341</v>
      </c>
      <c r="E89" s="11">
        <v>45971</v>
      </c>
      <c r="F89" s="6" t="s">
        <v>1342</v>
      </c>
      <c r="G89" s="11">
        <v>45973</v>
      </c>
    </row>
    <row r="90" spans="1:7" x14ac:dyDescent="0.25">
      <c r="A90" s="6" t="s">
        <v>1455</v>
      </c>
      <c r="B90" s="6" t="s">
        <v>247</v>
      </c>
      <c r="C90" s="6" t="s">
        <v>1387</v>
      </c>
      <c r="D90" s="6" t="s">
        <v>1341</v>
      </c>
      <c r="E90" s="11">
        <v>46136</v>
      </c>
      <c r="F90" s="6" t="s">
        <v>1342</v>
      </c>
      <c r="G90" s="11">
        <v>46133</v>
      </c>
    </row>
    <row r="91" spans="1:7" x14ac:dyDescent="0.25">
      <c r="A91" s="6" t="s">
        <v>1456</v>
      </c>
      <c r="B91" s="6" t="s">
        <v>250</v>
      </c>
      <c r="C91" s="6" t="s">
        <v>1383</v>
      </c>
      <c r="D91" s="6" t="s">
        <v>1341</v>
      </c>
      <c r="E91" s="11">
        <v>45792</v>
      </c>
      <c r="F91" s="6" t="s">
        <v>1342</v>
      </c>
      <c r="G91" s="11">
        <v>45796</v>
      </c>
    </row>
    <row r="92" spans="1:7" x14ac:dyDescent="0.25">
      <c r="A92" s="6" t="s">
        <v>1457</v>
      </c>
      <c r="B92" s="6" t="s">
        <v>250</v>
      </c>
      <c r="C92" s="6" t="s">
        <v>1385</v>
      </c>
      <c r="D92" s="6" t="s">
        <v>1341</v>
      </c>
      <c r="E92" s="11">
        <v>45949</v>
      </c>
      <c r="F92" s="6" t="s">
        <v>1342</v>
      </c>
      <c r="G92" s="11">
        <v>45950</v>
      </c>
    </row>
    <row r="93" spans="1:7" x14ac:dyDescent="0.25">
      <c r="A93" s="6" t="s">
        <v>1458</v>
      </c>
      <c r="B93" s="6" t="s">
        <v>250</v>
      </c>
      <c r="C93" s="6" t="s">
        <v>1387</v>
      </c>
      <c r="D93" s="6" t="s">
        <v>1341</v>
      </c>
      <c r="E93" s="11">
        <v>46105</v>
      </c>
      <c r="F93" s="6" t="s">
        <v>1342</v>
      </c>
      <c r="G93" s="11">
        <v>46110</v>
      </c>
    </row>
    <row r="94" spans="1:7" x14ac:dyDescent="0.25">
      <c r="A94" s="6" t="s">
        <v>1459</v>
      </c>
      <c r="B94" s="6" t="s">
        <v>253</v>
      </c>
      <c r="C94" s="6" t="s">
        <v>1383</v>
      </c>
      <c r="D94" s="6" t="s">
        <v>1341</v>
      </c>
      <c r="E94" s="11">
        <v>45736</v>
      </c>
      <c r="F94" s="6" t="s">
        <v>1342</v>
      </c>
      <c r="G94" s="11">
        <v>45736</v>
      </c>
    </row>
    <row r="95" spans="1:7" x14ac:dyDescent="0.25">
      <c r="A95" s="6" t="s">
        <v>1460</v>
      </c>
      <c r="B95" s="6" t="s">
        <v>253</v>
      </c>
      <c r="C95" s="6" t="s">
        <v>1385</v>
      </c>
      <c r="D95" s="6" t="s">
        <v>1341</v>
      </c>
      <c r="E95" s="11">
        <v>45910</v>
      </c>
      <c r="F95" s="6" t="s">
        <v>1342</v>
      </c>
      <c r="G95" s="11">
        <v>45914</v>
      </c>
    </row>
    <row r="96" spans="1:7" x14ac:dyDescent="0.25">
      <c r="A96" s="6" t="s">
        <v>1461</v>
      </c>
      <c r="B96" s="6" t="s">
        <v>253</v>
      </c>
      <c r="C96" s="6" t="s">
        <v>1387</v>
      </c>
      <c r="D96" s="6" t="s">
        <v>1341</v>
      </c>
      <c r="E96" s="11">
        <v>46083</v>
      </c>
      <c r="F96" s="6" t="s">
        <v>1342</v>
      </c>
      <c r="G96" s="11">
        <v>46085</v>
      </c>
    </row>
    <row r="97" spans="1:7" x14ac:dyDescent="0.25">
      <c r="A97" s="6" t="s">
        <v>1462</v>
      </c>
      <c r="B97" s="6" t="s">
        <v>256</v>
      </c>
      <c r="C97" s="6" t="s">
        <v>1383</v>
      </c>
      <c r="D97" s="6" t="s">
        <v>1341</v>
      </c>
      <c r="E97" s="11">
        <v>45838</v>
      </c>
      <c r="F97" s="6" t="s">
        <v>1342</v>
      </c>
      <c r="G97" s="11">
        <v>45839</v>
      </c>
    </row>
    <row r="98" spans="1:7" x14ac:dyDescent="0.25">
      <c r="A98" s="6" t="s">
        <v>1463</v>
      </c>
      <c r="B98" s="6" t="s">
        <v>256</v>
      </c>
      <c r="C98" s="6" t="s">
        <v>1385</v>
      </c>
      <c r="D98" s="6" t="s">
        <v>1341</v>
      </c>
      <c r="E98" s="11">
        <v>45959</v>
      </c>
      <c r="F98" s="6" t="s">
        <v>1342</v>
      </c>
      <c r="G98" s="11">
        <v>45959</v>
      </c>
    </row>
    <row r="99" spans="1:7" x14ac:dyDescent="0.25">
      <c r="A99" s="6" t="s">
        <v>1464</v>
      </c>
      <c r="B99" s="6" t="s">
        <v>256</v>
      </c>
      <c r="C99" s="6" t="s">
        <v>1387</v>
      </c>
      <c r="D99" s="6" t="s">
        <v>1341</v>
      </c>
      <c r="E99" s="11">
        <v>46081</v>
      </c>
      <c r="F99" s="6" t="s">
        <v>1342</v>
      </c>
      <c r="G99" s="11">
        <v>46086</v>
      </c>
    </row>
    <row r="100" spans="1:7" x14ac:dyDescent="0.25">
      <c r="A100" s="6" t="s">
        <v>1465</v>
      </c>
      <c r="B100" s="6" t="s">
        <v>259</v>
      </c>
      <c r="C100" s="6" t="s">
        <v>1383</v>
      </c>
      <c r="D100" s="6" t="s">
        <v>1341</v>
      </c>
      <c r="E100" s="11">
        <v>45755</v>
      </c>
      <c r="F100" s="6" t="s">
        <v>1342</v>
      </c>
      <c r="G100" s="11">
        <v>45757</v>
      </c>
    </row>
    <row r="101" spans="1:7" x14ac:dyDescent="0.25">
      <c r="A101" s="6" t="s">
        <v>1466</v>
      </c>
      <c r="B101" s="6" t="s">
        <v>259</v>
      </c>
      <c r="C101" s="6" t="s">
        <v>1385</v>
      </c>
      <c r="D101" s="6" t="s">
        <v>1341</v>
      </c>
      <c r="E101" s="11">
        <v>45893</v>
      </c>
      <c r="F101" s="6" t="s">
        <v>1342</v>
      </c>
      <c r="G101" s="11">
        <v>45896</v>
      </c>
    </row>
    <row r="102" spans="1:7" x14ac:dyDescent="0.25">
      <c r="A102" s="6" t="s">
        <v>1467</v>
      </c>
      <c r="B102" s="6" t="s">
        <v>259</v>
      </c>
      <c r="C102" s="6" t="s">
        <v>1387</v>
      </c>
      <c r="D102" s="6" t="s">
        <v>1341</v>
      </c>
      <c r="E102" s="11">
        <v>46032</v>
      </c>
      <c r="F102" s="6" t="s">
        <v>1342</v>
      </c>
      <c r="G102" s="11">
        <v>46036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773A-743B-45FA-B7FB-0679FB212D0A}">
  <dimension ref="A1:F102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0.90625" style="6" customWidth="1"/>
    <col min="2" max="2" width="10.6328125" style="6" customWidth="1"/>
    <col min="3" max="3" width="17.453125" style="6" bestFit="1" customWidth="1"/>
    <col min="4" max="5" width="11.6328125" style="6" bestFit="1" customWidth="1"/>
    <col min="6" max="6" width="13.7265625" style="6" customWidth="1"/>
    <col min="7" max="16384" width="8.7265625" style="6"/>
  </cols>
  <sheetData>
    <row r="1" spans="1:6" ht="18" customHeight="1" x14ac:dyDescent="0.3">
      <c r="A1" s="10" t="s">
        <v>1468</v>
      </c>
      <c r="B1" s="10" t="s">
        <v>105</v>
      </c>
      <c r="C1" s="10" t="s">
        <v>1469</v>
      </c>
      <c r="D1" s="10" t="s">
        <v>118</v>
      </c>
      <c r="E1" s="10" t="s">
        <v>1470</v>
      </c>
      <c r="F1" s="10" t="s">
        <v>1471</v>
      </c>
    </row>
    <row r="2" spans="1:6" x14ac:dyDescent="0.25">
      <c r="A2" s="6" t="s">
        <v>1472</v>
      </c>
      <c r="B2" s="6" t="s">
        <v>133</v>
      </c>
      <c r="C2" s="6" t="s">
        <v>1473</v>
      </c>
      <c r="D2" s="11">
        <v>45983</v>
      </c>
      <c r="E2" s="11">
        <v>46085</v>
      </c>
      <c r="F2" s="12">
        <v>100</v>
      </c>
    </row>
    <row r="3" spans="1:6" x14ac:dyDescent="0.25">
      <c r="A3" s="6" t="s">
        <v>1474</v>
      </c>
      <c r="B3" s="6" t="s">
        <v>133</v>
      </c>
      <c r="C3" s="6" t="s">
        <v>1475</v>
      </c>
      <c r="D3" s="11">
        <v>46025</v>
      </c>
      <c r="E3" s="11">
        <v>46168</v>
      </c>
      <c r="F3" s="12">
        <v>75</v>
      </c>
    </row>
    <row r="4" spans="1:6" x14ac:dyDescent="0.25">
      <c r="A4" s="6" t="s">
        <v>1476</v>
      </c>
      <c r="B4" s="6" t="s">
        <v>133</v>
      </c>
      <c r="C4" s="6" t="s">
        <v>1477</v>
      </c>
      <c r="D4" s="11">
        <v>46066</v>
      </c>
      <c r="E4" s="11">
        <v>46225</v>
      </c>
      <c r="F4" s="12">
        <v>86</v>
      </c>
    </row>
    <row r="5" spans="1:6" x14ac:dyDescent="0.25">
      <c r="A5" s="6" t="s">
        <v>1478</v>
      </c>
      <c r="B5" s="6" t="s">
        <v>133</v>
      </c>
      <c r="C5" s="6" t="s">
        <v>1479</v>
      </c>
      <c r="D5" s="11">
        <v>46088</v>
      </c>
      <c r="E5" s="11">
        <v>46238</v>
      </c>
      <c r="F5" s="12">
        <v>80</v>
      </c>
    </row>
    <row r="6" spans="1:6" x14ac:dyDescent="0.25">
      <c r="A6" s="6" t="s">
        <v>1480</v>
      </c>
      <c r="B6" s="6" t="s">
        <v>133</v>
      </c>
      <c r="C6" s="6" t="s">
        <v>1481</v>
      </c>
      <c r="D6" s="11">
        <v>46142</v>
      </c>
      <c r="E6" s="11">
        <v>46263</v>
      </c>
      <c r="F6" s="12">
        <v>52</v>
      </c>
    </row>
    <row r="7" spans="1:6" x14ac:dyDescent="0.25">
      <c r="A7" s="6" t="s">
        <v>1482</v>
      </c>
      <c r="B7" s="6" t="s">
        <v>140</v>
      </c>
      <c r="C7" s="6" t="s">
        <v>1483</v>
      </c>
      <c r="D7" s="11">
        <v>45787</v>
      </c>
      <c r="E7" s="11">
        <v>45979</v>
      </c>
      <c r="F7" s="12">
        <v>76</v>
      </c>
    </row>
    <row r="8" spans="1:6" x14ac:dyDescent="0.25">
      <c r="A8" s="6" t="s">
        <v>1484</v>
      </c>
      <c r="B8" s="6" t="s">
        <v>140</v>
      </c>
      <c r="C8" s="6" t="s">
        <v>1485</v>
      </c>
      <c r="D8" s="11">
        <v>45869</v>
      </c>
      <c r="E8" s="11">
        <v>46116</v>
      </c>
      <c r="F8" s="12">
        <v>65</v>
      </c>
    </row>
    <row r="9" spans="1:6" x14ac:dyDescent="0.25">
      <c r="A9" s="6" t="s">
        <v>1486</v>
      </c>
      <c r="B9" s="6" t="s">
        <v>140</v>
      </c>
      <c r="C9" s="6" t="s">
        <v>233</v>
      </c>
      <c r="D9" s="11">
        <v>45979</v>
      </c>
      <c r="E9" s="11">
        <v>46281</v>
      </c>
      <c r="F9" s="12">
        <v>69</v>
      </c>
    </row>
    <row r="10" spans="1:6" x14ac:dyDescent="0.25">
      <c r="A10" s="6" t="s">
        <v>1487</v>
      </c>
      <c r="B10" s="6" t="s">
        <v>140</v>
      </c>
      <c r="C10" s="6" t="s">
        <v>1488</v>
      </c>
      <c r="D10" s="11">
        <v>46226</v>
      </c>
      <c r="E10" s="11">
        <v>46325</v>
      </c>
      <c r="F10" s="12">
        <v>18</v>
      </c>
    </row>
    <row r="11" spans="1:6" x14ac:dyDescent="0.25">
      <c r="A11" s="6" t="s">
        <v>1489</v>
      </c>
      <c r="B11" s="6" t="s">
        <v>140</v>
      </c>
      <c r="C11" s="6" t="s">
        <v>1490</v>
      </c>
      <c r="D11" s="11">
        <v>46309</v>
      </c>
      <c r="E11" s="11">
        <v>46336</v>
      </c>
      <c r="F11" s="12">
        <v>39</v>
      </c>
    </row>
    <row r="12" spans="1:6" x14ac:dyDescent="0.25">
      <c r="A12" s="6" t="s">
        <v>1491</v>
      </c>
      <c r="B12" s="6" t="s">
        <v>146</v>
      </c>
      <c r="C12" s="6" t="s">
        <v>1492</v>
      </c>
      <c r="D12" s="11">
        <v>46193</v>
      </c>
      <c r="E12" s="11">
        <v>46328</v>
      </c>
      <c r="F12" s="12">
        <v>61</v>
      </c>
    </row>
    <row r="13" spans="1:6" x14ac:dyDescent="0.25">
      <c r="A13" s="6" t="s">
        <v>1493</v>
      </c>
      <c r="B13" s="6" t="s">
        <v>146</v>
      </c>
      <c r="C13" s="6" t="s">
        <v>1494</v>
      </c>
      <c r="D13" s="11">
        <v>46279</v>
      </c>
      <c r="E13" s="11">
        <v>46389</v>
      </c>
      <c r="F13" s="12">
        <v>73</v>
      </c>
    </row>
    <row r="14" spans="1:6" x14ac:dyDescent="0.25">
      <c r="A14" s="6" t="s">
        <v>1495</v>
      </c>
      <c r="B14" s="6" t="s">
        <v>146</v>
      </c>
      <c r="C14" s="6" t="s">
        <v>1496</v>
      </c>
      <c r="D14" s="11">
        <v>46377</v>
      </c>
      <c r="E14" s="11">
        <v>46438</v>
      </c>
      <c r="F14" s="12">
        <v>2</v>
      </c>
    </row>
    <row r="15" spans="1:6" x14ac:dyDescent="0.25">
      <c r="A15" s="6" t="s">
        <v>1497</v>
      </c>
      <c r="B15" s="6" t="s">
        <v>152</v>
      </c>
      <c r="C15" s="6" t="s">
        <v>1473</v>
      </c>
      <c r="D15" s="11">
        <v>45947</v>
      </c>
      <c r="E15" s="11">
        <v>46093</v>
      </c>
      <c r="F15" s="12">
        <v>84</v>
      </c>
    </row>
    <row r="16" spans="1:6" x14ac:dyDescent="0.25">
      <c r="A16" s="6" t="s">
        <v>1498</v>
      </c>
      <c r="B16" s="6" t="s">
        <v>152</v>
      </c>
      <c r="C16" s="6" t="s">
        <v>1475</v>
      </c>
      <c r="D16" s="11">
        <v>45994</v>
      </c>
      <c r="E16" s="11">
        <v>46184</v>
      </c>
      <c r="F16" s="12">
        <v>76</v>
      </c>
    </row>
    <row r="17" spans="1:6" x14ac:dyDescent="0.25">
      <c r="A17" s="6" t="s">
        <v>1499</v>
      </c>
      <c r="B17" s="6" t="s">
        <v>152</v>
      </c>
      <c r="C17" s="6" t="s">
        <v>1477</v>
      </c>
      <c r="D17" s="11">
        <v>46033</v>
      </c>
      <c r="E17" s="11">
        <v>46251</v>
      </c>
      <c r="F17" s="12">
        <v>89</v>
      </c>
    </row>
    <row r="18" spans="1:6" x14ac:dyDescent="0.25">
      <c r="A18" s="6" t="s">
        <v>1500</v>
      </c>
      <c r="B18" s="6" t="s">
        <v>152</v>
      </c>
      <c r="C18" s="6" t="s">
        <v>1479</v>
      </c>
      <c r="D18" s="11">
        <v>46073</v>
      </c>
      <c r="E18" s="11">
        <v>46271</v>
      </c>
      <c r="F18" s="12">
        <v>41</v>
      </c>
    </row>
    <row r="19" spans="1:6" x14ac:dyDescent="0.25">
      <c r="A19" s="6" t="s">
        <v>1501</v>
      </c>
      <c r="B19" s="6" t="s">
        <v>152</v>
      </c>
      <c r="C19" s="6" t="s">
        <v>1481</v>
      </c>
      <c r="D19" s="11">
        <v>46152</v>
      </c>
      <c r="E19" s="11">
        <v>46310</v>
      </c>
      <c r="F19" s="12">
        <v>28</v>
      </c>
    </row>
    <row r="20" spans="1:6" x14ac:dyDescent="0.25">
      <c r="A20" s="6" t="s">
        <v>1502</v>
      </c>
      <c r="B20" s="6" t="s">
        <v>158</v>
      </c>
      <c r="C20" s="6" t="s">
        <v>1483</v>
      </c>
      <c r="D20" s="11">
        <v>45826</v>
      </c>
      <c r="E20" s="11">
        <v>45986</v>
      </c>
      <c r="F20" s="12">
        <v>97</v>
      </c>
    </row>
    <row r="21" spans="1:6" x14ac:dyDescent="0.25">
      <c r="A21" s="6" t="s">
        <v>1503</v>
      </c>
      <c r="B21" s="6" t="s">
        <v>158</v>
      </c>
      <c r="C21" s="6" t="s">
        <v>1485</v>
      </c>
      <c r="D21" s="11">
        <v>45895</v>
      </c>
      <c r="E21" s="11">
        <v>46100</v>
      </c>
      <c r="F21" s="12">
        <v>67</v>
      </c>
    </row>
    <row r="22" spans="1:6" x14ac:dyDescent="0.25">
      <c r="A22" s="6" t="s">
        <v>1504</v>
      </c>
      <c r="B22" s="6" t="s">
        <v>158</v>
      </c>
      <c r="C22" s="6" t="s">
        <v>233</v>
      </c>
      <c r="D22" s="11">
        <v>45986</v>
      </c>
      <c r="E22" s="11">
        <v>46237</v>
      </c>
      <c r="F22" s="12">
        <v>84</v>
      </c>
    </row>
    <row r="23" spans="1:6" x14ac:dyDescent="0.25">
      <c r="A23" s="6" t="s">
        <v>1505</v>
      </c>
      <c r="B23" s="6" t="s">
        <v>158</v>
      </c>
      <c r="C23" s="6" t="s">
        <v>1488</v>
      </c>
      <c r="D23" s="11">
        <v>46192</v>
      </c>
      <c r="E23" s="11">
        <v>46274</v>
      </c>
      <c r="F23" s="12">
        <v>25</v>
      </c>
    </row>
    <row r="24" spans="1:6" x14ac:dyDescent="0.25">
      <c r="A24" s="6" t="s">
        <v>1506</v>
      </c>
      <c r="B24" s="6" t="s">
        <v>158</v>
      </c>
      <c r="C24" s="6" t="s">
        <v>1490</v>
      </c>
      <c r="D24" s="11">
        <v>46260</v>
      </c>
      <c r="E24" s="11">
        <v>46283</v>
      </c>
      <c r="F24" s="12">
        <v>39</v>
      </c>
    </row>
    <row r="25" spans="1:6" x14ac:dyDescent="0.25">
      <c r="A25" s="6" t="s">
        <v>1507</v>
      </c>
      <c r="B25" s="6" t="s">
        <v>164</v>
      </c>
      <c r="C25" s="6" t="s">
        <v>1492</v>
      </c>
      <c r="D25" s="11">
        <v>46174</v>
      </c>
      <c r="E25" s="11">
        <v>46324</v>
      </c>
      <c r="F25" s="12">
        <v>65</v>
      </c>
    </row>
    <row r="26" spans="1:6" x14ac:dyDescent="0.25">
      <c r="A26" s="6" t="s">
        <v>1508</v>
      </c>
      <c r="B26" s="6" t="s">
        <v>164</v>
      </c>
      <c r="C26" s="6" t="s">
        <v>1494</v>
      </c>
      <c r="D26" s="11">
        <v>46270</v>
      </c>
      <c r="E26" s="11">
        <v>46392</v>
      </c>
      <c r="F26" s="12">
        <v>42</v>
      </c>
    </row>
    <row r="27" spans="1:6" x14ac:dyDescent="0.25">
      <c r="A27" s="6" t="s">
        <v>1509</v>
      </c>
      <c r="B27" s="6" t="s">
        <v>164</v>
      </c>
      <c r="C27" s="6" t="s">
        <v>1496</v>
      </c>
      <c r="D27" s="11">
        <v>46379</v>
      </c>
      <c r="E27" s="11">
        <v>46447</v>
      </c>
      <c r="F27" s="12">
        <v>36</v>
      </c>
    </row>
    <row r="28" spans="1:6" x14ac:dyDescent="0.25">
      <c r="A28" s="6" t="s">
        <v>1510</v>
      </c>
      <c r="B28" s="6" t="s">
        <v>179</v>
      </c>
      <c r="C28" s="6" t="s">
        <v>1492</v>
      </c>
      <c r="D28" s="11">
        <v>46122</v>
      </c>
      <c r="E28" s="11">
        <v>46273</v>
      </c>
      <c r="F28" s="12">
        <v>70</v>
      </c>
    </row>
    <row r="29" spans="1:6" x14ac:dyDescent="0.25">
      <c r="A29" s="6" t="s">
        <v>1511</v>
      </c>
      <c r="B29" s="6" t="s">
        <v>179</v>
      </c>
      <c r="C29" s="6" t="s">
        <v>1494</v>
      </c>
      <c r="D29" s="11">
        <v>46218</v>
      </c>
      <c r="E29" s="11">
        <v>46342</v>
      </c>
      <c r="F29" s="12">
        <v>82</v>
      </c>
    </row>
    <row r="30" spans="1:6" x14ac:dyDescent="0.25">
      <c r="A30" s="6" t="s">
        <v>1512</v>
      </c>
      <c r="B30" s="6" t="s">
        <v>179</v>
      </c>
      <c r="C30" s="6" t="s">
        <v>1496</v>
      </c>
      <c r="D30" s="11">
        <v>46328</v>
      </c>
      <c r="E30" s="11">
        <v>46397</v>
      </c>
      <c r="F30" s="12">
        <v>22</v>
      </c>
    </row>
    <row r="31" spans="1:6" x14ac:dyDescent="0.25">
      <c r="A31" s="6" t="s">
        <v>1513</v>
      </c>
      <c r="B31" s="6" t="s">
        <v>185</v>
      </c>
      <c r="C31" s="6" t="s">
        <v>1492</v>
      </c>
      <c r="D31" s="11">
        <v>46147</v>
      </c>
      <c r="E31" s="11">
        <v>46299</v>
      </c>
      <c r="F31" s="12">
        <v>89</v>
      </c>
    </row>
    <row r="32" spans="1:6" x14ac:dyDescent="0.25">
      <c r="A32" s="6" t="s">
        <v>1514</v>
      </c>
      <c r="B32" s="6" t="s">
        <v>185</v>
      </c>
      <c r="C32" s="6" t="s">
        <v>1494</v>
      </c>
      <c r="D32" s="11">
        <v>46244</v>
      </c>
      <c r="E32" s="11">
        <v>46368</v>
      </c>
      <c r="F32" s="12">
        <v>48</v>
      </c>
    </row>
    <row r="33" spans="1:6" x14ac:dyDescent="0.25">
      <c r="A33" s="6" t="s">
        <v>1515</v>
      </c>
      <c r="B33" s="6" t="s">
        <v>185</v>
      </c>
      <c r="C33" s="6" t="s">
        <v>1496</v>
      </c>
      <c r="D33" s="11">
        <v>46354</v>
      </c>
      <c r="E33" s="11">
        <v>46423</v>
      </c>
      <c r="F33" s="12">
        <v>10</v>
      </c>
    </row>
    <row r="34" spans="1:6" x14ac:dyDescent="0.25">
      <c r="A34" s="6" t="s">
        <v>1516</v>
      </c>
      <c r="B34" s="6" t="s">
        <v>189</v>
      </c>
      <c r="C34" s="6" t="s">
        <v>1517</v>
      </c>
      <c r="D34" s="11">
        <v>46132</v>
      </c>
      <c r="E34" s="11">
        <v>46254</v>
      </c>
      <c r="F34" s="12">
        <v>77</v>
      </c>
    </row>
    <row r="35" spans="1:6" x14ac:dyDescent="0.25">
      <c r="A35" s="6" t="s">
        <v>1518</v>
      </c>
      <c r="B35" s="6" t="s">
        <v>189</v>
      </c>
      <c r="C35" s="6" t="s">
        <v>1519</v>
      </c>
      <c r="D35" s="11">
        <v>46303</v>
      </c>
      <c r="E35" s="11">
        <v>46376</v>
      </c>
      <c r="F35" s="12">
        <v>12</v>
      </c>
    </row>
    <row r="36" spans="1:6" x14ac:dyDescent="0.25">
      <c r="A36" s="6" t="s">
        <v>1520</v>
      </c>
      <c r="B36" s="6" t="s">
        <v>195</v>
      </c>
      <c r="C36" s="6" t="s">
        <v>1521</v>
      </c>
      <c r="D36" s="11">
        <v>46357</v>
      </c>
      <c r="E36" s="11">
        <v>46430</v>
      </c>
      <c r="F36" s="12">
        <v>47</v>
      </c>
    </row>
    <row r="37" spans="1:6" x14ac:dyDescent="0.25">
      <c r="A37" s="6" t="s">
        <v>1522</v>
      </c>
      <c r="B37" s="6" t="s">
        <v>195</v>
      </c>
      <c r="C37" s="6" t="s">
        <v>1523</v>
      </c>
      <c r="D37" s="11">
        <v>46424</v>
      </c>
      <c r="E37" s="11">
        <v>46478</v>
      </c>
      <c r="F37" s="12">
        <v>48</v>
      </c>
    </row>
    <row r="38" spans="1:6" x14ac:dyDescent="0.25">
      <c r="A38" s="6" t="s">
        <v>1524</v>
      </c>
      <c r="B38" s="6" t="s">
        <v>199</v>
      </c>
      <c r="C38" s="6" t="s">
        <v>1492</v>
      </c>
      <c r="D38" s="11">
        <v>46198</v>
      </c>
      <c r="E38" s="11">
        <v>46316</v>
      </c>
      <c r="F38" s="12">
        <v>81</v>
      </c>
    </row>
    <row r="39" spans="1:6" x14ac:dyDescent="0.25">
      <c r="A39" s="6" t="s">
        <v>1525</v>
      </c>
      <c r="B39" s="6" t="s">
        <v>199</v>
      </c>
      <c r="C39" s="6" t="s">
        <v>1494</v>
      </c>
      <c r="D39" s="11">
        <v>46273</v>
      </c>
      <c r="E39" s="11">
        <v>46369</v>
      </c>
      <c r="F39" s="12">
        <v>53</v>
      </c>
    </row>
    <row r="40" spans="1:6" x14ac:dyDescent="0.25">
      <c r="A40" s="6" t="s">
        <v>1526</v>
      </c>
      <c r="B40" s="6" t="s">
        <v>199</v>
      </c>
      <c r="C40" s="6" t="s">
        <v>1496</v>
      </c>
      <c r="D40" s="11">
        <v>46358</v>
      </c>
      <c r="E40" s="11">
        <v>46412</v>
      </c>
      <c r="F40" s="12">
        <v>10</v>
      </c>
    </row>
    <row r="41" spans="1:6" x14ac:dyDescent="0.25">
      <c r="A41" s="6" t="s">
        <v>1527</v>
      </c>
      <c r="B41" s="6" t="s">
        <v>203</v>
      </c>
      <c r="C41" s="6" t="s">
        <v>1517</v>
      </c>
      <c r="D41" s="11">
        <v>46091</v>
      </c>
      <c r="E41" s="11">
        <v>46229</v>
      </c>
      <c r="F41" s="12">
        <v>72</v>
      </c>
    </row>
    <row r="42" spans="1:6" x14ac:dyDescent="0.25">
      <c r="A42" s="6" t="s">
        <v>1528</v>
      </c>
      <c r="B42" s="6" t="s">
        <v>203</v>
      </c>
      <c r="C42" s="6" t="s">
        <v>1519</v>
      </c>
      <c r="D42" s="11">
        <v>46283</v>
      </c>
      <c r="E42" s="11">
        <v>46366</v>
      </c>
      <c r="F42" s="12">
        <v>27</v>
      </c>
    </row>
    <row r="43" spans="1:6" x14ac:dyDescent="0.25">
      <c r="A43" s="6" t="s">
        <v>1529</v>
      </c>
      <c r="B43" s="6" t="s">
        <v>207</v>
      </c>
      <c r="C43" s="6" t="s">
        <v>1473</v>
      </c>
      <c r="D43" s="11">
        <v>46095</v>
      </c>
      <c r="E43" s="11">
        <v>46196</v>
      </c>
      <c r="F43" s="12">
        <v>98</v>
      </c>
    </row>
    <row r="44" spans="1:6" x14ac:dyDescent="0.25">
      <c r="A44" s="6" t="s">
        <v>1530</v>
      </c>
      <c r="B44" s="6" t="s">
        <v>207</v>
      </c>
      <c r="C44" s="6" t="s">
        <v>1475</v>
      </c>
      <c r="D44" s="11">
        <v>46128</v>
      </c>
      <c r="E44" s="11">
        <v>46259</v>
      </c>
      <c r="F44" s="12">
        <v>59</v>
      </c>
    </row>
    <row r="45" spans="1:6" x14ac:dyDescent="0.25">
      <c r="A45" s="6" t="s">
        <v>1531</v>
      </c>
      <c r="B45" s="6" t="s">
        <v>207</v>
      </c>
      <c r="C45" s="6" t="s">
        <v>1477</v>
      </c>
      <c r="D45" s="11">
        <v>46155</v>
      </c>
      <c r="E45" s="11">
        <v>46305</v>
      </c>
      <c r="F45" s="12">
        <v>45</v>
      </c>
    </row>
    <row r="46" spans="1:6" x14ac:dyDescent="0.25">
      <c r="A46" s="6" t="s">
        <v>1532</v>
      </c>
      <c r="B46" s="6" t="s">
        <v>207</v>
      </c>
      <c r="C46" s="6" t="s">
        <v>1479</v>
      </c>
      <c r="D46" s="11">
        <v>46182</v>
      </c>
      <c r="E46" s="11">
        <v>46319</v>
      </c>
      <c r="F46" s="12">
        <v>44</v>
      </c>
    </row>
    <row r="47" spans="1:6" x14ac:dyDescent="0.25">
      <c r="A47" s="6" t="s">
        <v>1533</v>
      </c>
      <c r="B47" s="6" t="s">
        <v>207</v>
      </c>
      <c r="C47" s="6" t="s">
        <v>1481</v>
      </c>
      <c r="D47" s="11">
        <v>46237</v>
      </c>
      <c r="E47" s="11">
        <v>46346</v>
      </c>
      <c r="F47" s="12">
        <v>17</v>
      </c>
    </row>
    <row r="48" spans="1:6" x14ac:dyDescent="0.25">
      <c r="A48" s="6" t="s">
        <v>1534</v>
      </c>
      <c r="B48" s="6" t="s">
        <v>211</v>
      </c>
      <c r="C48" s="6" t="s">
        <v>1473</v>
      </c>
      <c r="D48" s="11">
        <v>45989</v>
      </c>
      <c r="E48" s="11">
        <v>46124</v>
      </c>
      <c r="F48" s="12">
        <v>93</v>
      </c>
    </row>
    <row r="49" spans="1:6" x14ac:dyDescent="0.25">
      <c r="A49" s="6" t="s">
        <v>1535</v>
      </c>
      <c r="B49" s="6" t="s">
        <v>211</v>
      </c>
      <c r="C49" s="6" t="s">
        <v>1475</v>
      </c>
      <c r="D49" s="11">
        <v>46033</v>
      </c>
      <c r="E49" s="11">
        <v>46208</v>
      </c>
      <c r="F49" s="12">
        <v>51</v>
      </c>
    </row>
    <row r="50" spans="1:6" x14ac:dyDescent="0.25">
      <c r="A50" s="6" t="s">
        <v>1536</v>
      </c>
      <c r="B50" s="6" t="s">
        <v>211</v>
      </c>
      <c r="C50" s="6" t="s">
        <v>1477</v>
      </c>
      <c r="D50" s="11">
        <v>46070</v>
      </c>
      <c r="E50" s="11">
        <v>46270</v>
      </c>
      <c r="F50" s="12">
        <v>61</v>
      </c>
    </row>
    <row r="51" spans="1:6" x14ac:dyDescent="0.25">
      <c r="A51" s="6" t="s">
        <v>1537</v>
      </c>
      <c r="B51" s="6" t="s">
        <v>211</v>
      </c>
      <c r="C51" s="6" t="s">
        <v>1479</v>
      </c>
      <c r="D51" s="11">
        <v>46106</v>
      </c>
      <c r="E51" s="11">
        <v>46288</v>
      </c>
      <c r="F51" s="12">
        <v>41</v>
      </c>
    </row>
    <row r="52" spans="1:6" x14ac:dyDescent="0.25">
      <c r="A52" s="6" t="s">
        <v>1538</v>
      </c>
      <c r="B52" s="6" t="s">
        <v>211</v>
      </c>
      <c r="C52" s="6" t="s">
        <v>1481</v>
      </c>
      <c r="D52" s="11">
        <v>46179</v>
      </c>
      <c r="E52" s="11">
        <v>46325</v>
      </c>
      <c r="F52" s="12">
        <v>25</v>
      </c>
    </row>
    <row r="53" spans="1:6" x14ac:dyDescent="0.25">
      <c r="A53" s="6" t="s">
        <v>1539</v>
      </c>
      <c r="B53" s="6" t="s">
        <v>214</v>
      </c>
      <c r="C53" s="6" t="s">
        <v>1473</v>
      </c>
      <c r="D53" s="11">
        <v>45998</v>
      </c>
      <c r="E53" s="11">
        <v>46144</v>
      </c>
      <c r="F53" s="12">
        <v>99</v>
      </c>
    </row>
    <row r="54" spans="1:6" x14ac:dyDescent="0.25">
      <c r="A54" s="6" t="s">
        <v>1540</v>
      </c>
      <c r="B54" s="6" t="s">
        <v>214</v>
      </c>
      <c r="C54" s="6" t="s">
        <v>1475</v>
      </c>
      <c r="D54" s="11">
        <v>46045</v>
      </c>
      <c r="E54" s="11">
        <v>46235</v>
      </c>
      <c r="F54" s="12">
        <v>49</v>
      </c>
    </row>
    <row r="55" spans="1:6" x14ac:dyDescent="0.25">
      <c r="A55" s="6" t="s">
        <v>1541</v>
      </c>
      <c r="B55" s="6" t="s">
        <v>214</v>
      </c>
      <c r="C55" s="6" t="s">
        <v>1477</v>
      </c>
      <c r="D55" s="11">
        <v>46084</v>
      </c>
      <c r="E55" s="11">
        <v>46302</v>
      </c>
      <c r="F55" s="12">
        <v>81</v>
      </c>
    </row>
    <row r="56" spans="1:6" x14ac:dyDescent="0.25">
      <c r="A56" s="6" t="s">
        <v>1542</v>
      </c>
      <c r="B56" s="6" t="s">
        <v>214</v>
      </c>
      <c r="C56" s="6" t="s">
        <v>1479</v>
      </c>
      <c r="D56" s="11">
        <v>46124</v>
      </c>
      <c r="E56" s="11">
        <v>46322</v>
      </c>
      <c r="F56" s="12">
        <v>63</v>
      </c>
    </row>
    <row r="57" spans="1:6" x14ac:dyDescent="0.25">
      <c r="A57" s="6" t="s">
        <v>1543</v>
      </c>
      <c r="B57" s="6" t="s">
        <v>214</v>
      </c>
      <c r="C57" s="6" t="s">
        <v>1481</v>
      </c>
      <c r="D57" s="11">
        <v>46203</v>
      </c>
      <c r="E57" s="11">
        <v>46361</v>
      </c>
      <c r="F57" s="12">
        <v>1</v>
      </c>
    </row>
    <row r="58" spans="1:6" x14ac:dyDescent="0.25">
      <c r="A58" s="6" t="s">
        <v>1544</v>
      </c>
      <c r="B58" s="6" t="s">
        <v>217</v>
      </c>
      <c r="C58" s="6" t="s">
        <v>1473</v>
      </c>
      <c r="D58" s="11">
        <v>46066</v>
      </c>
      <c r="E58" s="11">
        <v>46201</v>
      </c>
      <c r="F58" s="12">
        <v>84</v>
      </c>
    </row>
    <row r="59" spans="1:6" x14ac:dyDescent="0.25">
      <c r="A59" s="6" t="s">
        <v>1545</v>
      </c>
      <c r="B59" s="6" t="s">
        <v>217</v>
      </c>
      <c r="C59" s="6" t="s">
        <v>1475</v>
      </c>
      <c r="D59" s="11">
        <v>46110</v>
      </c>
      <c r="E59" s="11">
        <v>46285</v>
      </c>
      <c r="F59" s="12">
        <v>85</v>
      </c>
    </row>
    <row r="60" spans="1:6" x14ac:dyDescent="0.25">
      <c r="A60" s="6" t="s">
        <v>1546</v>
      </c>
      <c r="B60" s="6" t="s">
        <v>217</v>
      </c>
      <c r="C60" s="6" t="s">
        <v>1477</v>
      </c>
      <c r="D60" s="11">
        <v>46147</v>
      </c>
      <c r="E60" s="11">
        <v>46347</v>
      </c>
      <c r="F60" s="12">
        <v>69</v>
      </c>
    </row>
    <row r="61" spans="1:6" x14ac:dyDescent="0.25">
      <c r="A61" s="6" t="s">
        <v>1547</v>
      </c>
      <c r="B61" s="6" t="s">
        <v>217</v>
      </c>
      <c r="C61" s="6" t="s">
        <v>1479</v>
      </c>
      <c r="D61" s="11">
        <v>46183</v>
      </c>
      <c r="E61" s="11">
        <v>46365</v>
      </c>
      <c r="F61" s="12">
        <v>69</v>
      </c>
    </row>
    <row r="62" spans="1:6" x14ac:dyDescent="0.25">
      <c r="A62" s="6" t="s">
        <v>1548</v>
      </c>
      <c r="B62" s="6" t="s">
        <v>217</v>
      </c>
      <c r="C62" s="6" t="s">
        <v>1481</v>
      </c>
      <c r="D62" s="11">
        <v>46256</v>
      </c>
      <c r="E62" s="11">
        <v>46402</v>
      </c>
      <c r="F62" s="12">
        <v>23</v>
      </c>
    </row>
    <row r="63" spans="1:6" x14ac:dyDescent="0.25">
      <c r="A63" s="6" t="s">
        <v>1549</v>
      </c>
      <c r="B63" s="6" t="s">
        <v>220</v>
      </c>
      <c r="C63" s="6" t="s">
        <v>1473</v>
      </c>
      <c r="D63" s="11">
        <v>45940</v>
      </c>
      <c r="E63" s="11">
        <v>46086</v>
      </c>
      <c r="F63" s="12">
        <v>73</v>
      </c>
    </row>
    <row r="64" spans="1:6" x14ac:dyDescent="0.25">
      <c r="A64" s="6" t="s">
        <v>1550</v>
      </c>
      <c r="B64" s="6" t="s">
        <v>220</v>
      </c>
      <c r="C64" s="6" t="s">
        <v>1475</v>
      </c>
      <c r="D64" s="11">
        <v>45987</v>
      </c>
      <c r="E64" s="11">
        <v>46177</v>
      </c>
      <c r="F64" s="12">
        <v>62</v>
      </c>
    </row>
    <row r="65" spans="1:6" x14ac:dyDescent="0.25">
      <c r="A65" s="6" t="s">
        <v>1551</v>
      </c>
      <c r="B65" s="6" t="s">
        <v>220</v>
      </c>
      <c r="C65" s="6" t="s">
        <v>1477</v>
      </c>
      <c r="D65" s="11">
        <v>46026</v>
      </c>
      <c r="E65" s="11">
        <v>46244</v>
      </c>
      <c r="F65" s="12">
        <v>71</v>
      </c>
    </row>
    <row r="66" spans="1:6" x14ac:dyDescent="0.25">
      <c r="A66" s="6" t="s">
        <v>1552</v>
      </c>
      <c r="B66" s="6" t="s">
        <v>220</v>
      </c>
      <c r="C66" s="6" t="s">
        <v>1479</v>
      </c>
      <c r="D66" s="11">
        <v>46066</v>
      </c>
      <c r="E66" s="11">
        <v>46264</v>
      </c>
      <c r="F66" s="12">
        <v>40</v>
      </c>
    </row>
    <row r="67" spans="1:6" x14ac:dyDescent="0.25">
      <c r="A67" s="6" t="s">
        <v>1553</v>
      </c>
      <c r="B67" s="6" t="s">
        <v>220</v>
      </c>
      <c r="C67" s="6" t="s">
        <v>1481</v>
      </c>
      <c r="D67" s="11">
        <v>46145</v>
      </c>
      <c r="E67" s="11">
        <v>46303</v>
      </c>
      <c r="F67" s="12">
        <v>1</v>
      </c>
    </row>
    <row r="68" spans="1:6" x14ac:dyDescent="0.25">
      <c r="A68" s="6" t="s">
        <v>1554</v>
      </c>
      <c r="B68" s="6" t="s">
        <v>224</v>
      </c>
      <c r="C68" s="6" t="s">
        <v>1473</v>
      </c>
      <c r="D68" s="11">
        <v>46094</v>
      </c>
      <c r="E68" s="11">
        <v>46229</v>
      </c>
      <c r="F68" s="12">
        <v>95</v>
      </c>
    </row>
    <row r="69" spans="1:6" x14ac:dyDescent="0.25">
      <c r="A69" s="6" t="s">
        <v>1555</v>
      </c>
      <c r="B69" s="6" t="s">
        <v>224</v>
      </c>
      <c r="C69" s="6" t="s">
        <v>1475</v>
      </c>
      <c r="D69" s="11">
        <v>46138</v>
      </c>
      <c r="E69" s="11">
        <v>46313</v>
      </c>
      <c r="F69" s="12">
        <v>89</v>
      </c>
    </row>
    <row r="70" spans="1:6" x14ac:dyDescent="0.25">
      <c r="A70" s="6" t="s">
        <v>1556</v>
      </c>
      <c r="B70" s="6" t="s">
        <v>224</v>
      </c>
      <c r="C70" s="6" t="s">
        <v>1477</v>
      </c>
      <c r="D70" s="11">
        <v>46175</v>
      </c>
      <c r="E70" s="11">
        <v>46375</v>
      </c>
      <c r="F70" s="12">
        <v>55</v>
      </c>
    </row>
    <row r="71" spans="1:6" x14ac:dyDescent="0.25">
      <c r="A71" s="6" t="s">
        <v>1557</v>
      </c>
      <c r="B71" s="6" t="s">
        <v>224</v>
      </c>
      <c r="C71" s="6" t="s">
        <v>1479</v>
      </c>
      <c r="D71" s="11">
        <v>46211</v>
      </c>
      <c r="E71" s="11">
        <v>46393</v>
      </c>
      <c r="F71" s="12">
        <v>76</v>
      </c>
    </row>
    <row r="72" spans="1:6" x14ac:dyDescent="0.25">
      <c r="A72" s="6" t="s">
        <v>1558</v>
      </c>
      <c r="B72" s="6" t="s">
        <v>224</v>
      </c>
      <c r="C72" s="6" t="s">
        <v>1481</v>
      </c>
      <c r="D72" s="11">
        <v>46284</v>
      </c>
      <c r="E72" s="11">
        <v>46430</v>
      </c>
      <c r="F72" s="12">
        <v>8</v>
      </c>
    </row>
    <row r="73" spans="1:6" x14ac:dyDescent="0.25">
      <c r="A73" s="6" t="s">
        <v>1559</v>
      </c>
      <c r="B73" s="6" t="s">
        <v>228</v>
      </c>
      <c r="C73" s="6" t="s">
        <v>1473</v>
      </c>
      <c r="D73" s="11">
        <v>46085</v>
      </c>
      <c r="E73" s="11">
        <v>46208</v>
      </c>
      <c r="F73" s="12">
        <v>70</v>
      </c>
    </row>
    <row r="74" spans="1:6" x14ac:dyDescent="0.25">
      <c r="A74" s="6" t="s">
        <v>1560</v>
      </c>
      <c r="B74" s="6" t="s">
        <v>228</v>
      </c>
      <c r="C74" s="6" t="s">
        <v>1475</v>
      </c>
      <c r="D74" s="11">
        <v>46125</v>
      </c>
      <c r="E74" s="11">
        <v>46285</v>
      </c>
      <c r="F74" s="12">
        <v>52</v>
      </c>
    </row>
    <row r="75" spans="1:6" x14ac:dyDescent="0.25">
      <c r="A75" s="6" t="s">
        <v>1561</v>
      </c>
      <c r="B75" s="6" t="s">
        <v>228</v>
      </c>
      <c r="C75" s="6" t="s">
        <v>1477</v>
      </c>
      <c r="D75" s="11">
        <v>46158</v>
      </c>
      <c r="E75" s="11">
        <v>46342</v>
      </c>
      <c r="F75" s="12">
        <v>75</v>
      </c>
    </row>
    <row r="76" spans="1:6" x14ac:dyDescent="0.25">
      <c r="A76" s="6" t="s">
        <v>1562</v>
      </c>
      <c r="B76" s="6" t="s">
        <v>228</v>
      </c>
      <c r="C76" s="6" t="s">
        <v>1479</v>
      </c>
      <c r="D76" s="11">
        <v>46192</v>
      </c>
      <c r="E76" s="11">
        <v>46359</v>
      </c>
      <c r="F76" s="12">
        <v>69</v>
      </c>
    </row>
    <row r="77" spans="1:6" x14ac:dyDescent="0.25">
      <c r="A77" s="6" t="s">
        <v>1563</v>
      </c>
      <c r="B77" s="6" t="s">
        <v>228</v>
      </c>
      <c r="C77" s="6" t="s">
        <v>1481</v>
      </c>
      <c r="D77" s="11">
        <v>46258</v>
      </c>
      <c r="E77" s="11">
        <v>46392</v>
      </c>
      <c r="F77" s="12">
        <v>31</v>
      </c>
    </row>
    <row r="78" spans="1:6" x14ac:dyDescent="0.25">
      <c r="A78" s="6" t="s">
        <v>1564</v>
      </c>
      <c r="B78" s="6" t="s">
        <v>231</v>
      </c>
      <c r="C78" s="6" t="s">
        <v>1483</v>
      </c>
      <c r="D78" s="11">
        <v>45772</v>
      </c>
      <c r="E78" s="11">
        <v>45953</v>
      </c>
      <c r="F78" s="12">
        <v>90</v>
      </c>
    </row>
    <row r="79" spans="1:6" x14ac:dyDescent="0.25">
      <c r="A79" s="6" t="s">
        <v>1565</v>
      </c>
      <c r="B79" s="6" t="s">
        <v>231</v>
      </c>
      <c r="C79" s="6" t="s">
        <v>1485</v>
      </c>
      <c r="D79" s="11">
        <v>45850</v>
      </c>
      <c r="E79" s="11">
        <v>46083</v>
      </c>
      <c r="F79" s="12">
        <v>53</v>
      </c>
    </row>
    <row r="80" spans="1:6" x14ac:dyDescent="0.25">
      <c r="A80" s="6" t="s">
        <v>1566</v>
      </c>
      <c r="B80" s="6" t="s">
        <v>231</v>
      </c>
      <c r="C80" s="6" t="s">
        <v>233</v>
      </c>
      <c r="D80" s="11">
        <v>45953</v>
      </c>
      <c r="E80" s="11">
        <v>46238</v>
      </c>
      <c r="F80" s="12">
        <v>45</v>
      </c>
    </row>
    <row r="81" spans="1:6" x14ac:dyDescent="0.25">
      <c r="A81" s="6" t="s">
        <v>1567</v>
      </c>
      <c r="B81" s="6" t="s">
        <v>231</v>
      </c>
      <c r="C81" s="6" t="s">
        <v>1488</v>
      </c>
      <c r="D81" s="11">
        <v>46186</v>
      </c>
      <c r="E81" s="11">
        <v>46280</v>
      </c>
      <c r="F81" s="12">
        <v>2</v>
      </c>
    </row>
    <row r="82" spans="1:6" x14ac:dyDescent="0.25">
      <c r="A82" s="6" t="s">
        <v>1568</v>
      </c>
      <c r="B82" s="6" t="s">
        <v>231</v>
      </c>
      <c r="C82" s="6" t="s">
        <v>1490</v>
      </c>
      <c r="D82" s="11">
        <v>46264</v>
      </c>
      <c r="E82" s="11">
        <v>46290</v>
      </c>
      <c r="F82" s="12">
        <v>2</v>
      </c>
    </row>
    <row r="83" spans="1:6" x14ac:dyDescent="0.25">
      <c r="A83" s="6" t="s">
        <v>1569</v>
      </c>
      <c r="B83" s="6" t="s">
        <v>235</v>
      </c>
      <c r="C83" s="6" t="s">
        <v>1483</v>
      </c>
      <c r="D83" s="11">
        <v>45693</v>
      </c>
      <c r="E83" s="11">
        <v>45895</v>
      </c>
      <c r="F83" s="12">
        <v>90</v>
      </c>
    </row>
    <row r="84" spans="1:6" x14ac:dyDescent="0.25">
      <c r="A84" s="6" t="s">
        <v>1570</v>
      </c>
      <c r="B84" s="6" t="s">
        <v>235</v>
      </c>
      <c r="C84" s="6" t="s">
        <v>1485</v>
      </c>
      <c r="D84" s="11">
        <v>45780</v>
      </c>
      <c r="E84" s="11">
        <v>46039</v>
      </c>
      <c r="F84" s="12">
        <v>59</v>
      </c>
    </row>
    <row r="85" spans="1:6" x14ac:dyDescent="0.25">
      <c r="A85" s="6" t="s">
        <v>1571</v>
      </c>
      <c r="B85" s="6" t="s">
        <v>235</v>
      </c>
      <c r="C85" s="6" t="s">
        <v>233</v>
      </c>
      <c r="D85" s="11">
        <v>45895</v>
      </c>
      <c r="E85" s="11">
        <v>46212</v>
      </c>
      <c r="F85" s="12">
        <v>54</v>
      </c>
    </row>
    <row r="86" spans="1:6" x14ac:dyDescent="0.25">
      <c r="A86" s="6" t="s">
        <v>1572</v>
      </c>
      <c r="B86" s="6" t="s">
        <v>235</v>
      </c>
      <c r="C86" s="6" t="s">
        <v>1488</v>
      </c>
      <c r="D86" s="11">
        <v>46155</v>
      </c>
      <c r="E86" s="11">
        <v>46258</v>
      </c>
      <c r="F86" s="12">
        <v>24</v>
      </c>
    </row>
    <row r="87" spans="1:6" x14ac:dyDescent="0.25">
      <c r="A87" s="6" t="s">
        <v>1573</v>
      </c>
      <c r="B87" s="6" t="s">
        <v>235</v>
      </c>
      <c r="C87" s="6" t="s">
        <v>1490</v>
      </c>
      <c r="D87" s="11">
        <v>46241</v>
      </c>
      <c r="E87" s="11">
        <v>46270</v>
      </c>
      <c r="F87" s="12">
        <v>26</v>
      </c>
    </row>
    <row r="88" spans="1:6" x14ac:dyDescent="0.25">
      <c r="A88" s="6" t="s">
        <v>1574</v>
      </c>
      <c r="B88" s="6" t="s">
        <v>238</v>
      </c>
      <c r="C88" s="6" t="s">
        <v>1483</v>
      </c>
      <c r="D88" s="11">
        <v>45928</v>
      </c>
      <c r="E88" s="11">
        <v>46077</v>
      </c>
      <c r="F88" s="12">
        <v>97</v>
      </c>
    </row>
    <row r="89" spans="1:6" x14ac:dyDescent="0.25">
      <c r="A89" s="6" t="s">
        <v>1575</v>
      </c>
      <c r="B89" s="6" t="s">
        <v>238</v>
      </c>
      <c r="C89" s="6" t="s">
        <v>1485</v>
      </c>
      <c r="D89" s="11">
        <v>45992</v>
      </c>
      <c r="E89" s="11">
        <v>46184</v>
      </c>
      <c r="F89" s="12">
        <v>87</v>
      </c>
    </row>
    <row r="90" spans="1:6" x14ac:dyDescent="0.25">
      <c r="A90" s="6" t="s">
        <v>1576</v>
      </c>
      <c r="B90" s="6" t="s">
        <v>238</v>
      </c>
      <c r="C90" s="6" t="s">
        <v>233</v>
      </c>
      <c r="D90" s="11">
        <v>46077</v>
      </c>
      <c r="E90" s="11">
        <v>46311</v>
      </c>
      <c r="F90" s="12">
        <v>44</v>
      </c>
    </row>
    <row r="91" spans="1:6" x14ac:dyDescent="0.25">
      <c r="A91" s="6" t="s">
        <v>1577</v>
      </c>
      <c r="B91" s="6" t="s">
        <v>238</v>
      </c>
      <c r="C91" s="6" t="s">
        <v>1488</v>
      </c>
      <c r="D91" s="11">
        <v>46269</v>
      </c>
      <c r="E91" s="11">
        <v>46345</v>
      </c>
      <c r="F91" s="12">
        <v>9</v>
      </c>
    </row>
    <row r="92" spans="1:6" x14ac:dyDescent="0.25">
      <c r="A92" s="6" t="s">
        <v>1578</v>
      </c>
      <c r="B92" s="6" t="s">
        <v>238</v>
      </c>
      <c r="C92" s="6" t="s">
        <v>1490</v>
      </c>
      <c r="D92" s="11">
        <v>46333</v>
      </c>
      <c r="E92" s="11">
        <v>46354</v>
      </c>
      <c r="F92" s="12">
        <v>8</v>
      </c>
    </row>
    <row r="93" spans="1:6" x14ac:dyDescent="0.25">
      <c r="A93" s="6" t="s">
        <v>1579</v>
      </c>
      <c r="B93" s="6" t="s">
        <v>241</v>
      </c>
      <c r="C93" s="6" t="s">
        <v>1483</v>
      </c>
      <c r="D93" s="11">
        <v>45828</v>
      </c>
      <c r="E93" s="11">
        <v>45998</v>
      </c>
      <c r="F93" s="12">
        <v>97</v>
      </c>
    </row>
    <row r="94" spans="1:6" x14ac:dyDescent="0.25">
      <c r="A94" s="6" t="s">
        <v>1580</v>
      </c>
      <c r="B94" s="6" t="s">
        <v>241</v>
      </c>
      <c r="C94" s="6" t="s">
        <v>1485</v>
      </c>
      <c r="D94" s="11">
        <v>45901</v>
      </c>
      <c r="E94" s="11">
        <v>46120</v>
      </c>
      <c r="F94" s="12">
        <v>56</v>
      </c>
    </row>
    <row r="95" spans="1:6" x14ac:dyDescent="0.25">
      <c r="A95" s="6" t="s">
        <v>1581</v>
      </c>
      <c r="B95" s="6" t="s">
        <v>241</v>
      </c>
      <c r="C95" s="6" t="s">
        <v>233</v>
      </c>
      <c r="D95" s="11">
        <v>45998</v>
      </c>
      <c r="E95" s="11">
        <v>46266</v>
      </c>
      <c r="F95" s="12">
        <v>60</v>
      </c>
    </row>
    <row r="96" spans="1:6" x14ac:dyDescent="0.25">
      <c r="A96" s="6" t="s">
        <v>1582</v>
      </c>
      <c r="B96" s="6" t="s">
        <v>241</v>
      </c>
      <c r="C96" s="6" t="s">
        <v>1488</v>
      </c>
      <c r="D96" s="11">
        <v>46218</v>
      </c>
      <c r="E96" s="11">
        <v>46305</v>
      </c>
      <c r="F96" s="12">
        <v>26</v>
      </c>
    </row>
    <row r="97" spans="1:6" x14ac:dyDescent="0.25">
      <c r="A97" s="6" t="s">
        <v>1583</v>
      </c>
      <c r="B97" s="6" t="s">
        <v>241</v>
      </c>
      <c r="C97" s="6" t="s">
        <v>1490</v>
      </c>
      <c r="D97" s="11">
        <v>46291</v>
      </c>
      <c r="E97" s="11">
        <v>46315</v>
      </c>
      <c r="F97" s="12">
        <v>18</v>
      </c>
    </row>
    <row r="98" spans="1:6" x14ac:dyDescent="0.25">
      <c r="A98" s="6" t="s">
        <v>1584</v>
      </c>
      <c r="B98" s="6" t="s">
        <v>244</v>
      </c>
      <c r="C98" s="6" t="s">
        <v>1483</v>
      </c>
      <c r="D98" s="11">
        <v>45807</v>
      </c>
      <c r="E98" s="11">
        <v>45978</v>
      </c>
      <c r="F98" s="12">
        <v>77</v>
      </c>
    </row>
    <row r="99" spans="1:6" x14ac:dyDescent="0.25">
      <c r="A99" s="6" t="s">
        <v>1585</v>
      </c>
      <c r="B99" s="6" t="s">
        <v>244</v>
      </c>
      <c r="C99" s="6" t="s">
        <v>1485</v>
      </c>
      <c r="D99" s="11">
        <v>45880</v>
      </c>
      <c r="E99" s="11">
        <v>46100</v>
      </c>
      <c r="F99" s="12">
        <v>59</v>
      </c>
    </row>
    <row r="100" spans="1:6" x14ac:dyDescent="0.25">
      <c r="A100" s="6" t="s">
        <v>1586</v>
      </c>
      <c r="B100" s="6" t="s">
        <v>244</v>
      </c>
      <c r="C100" s="6" t="s">
        <v>233</v>
      </c>
      <c r="D100" s="11">
        <v>45978</v>
      </c>
      <c r="E100" s="11">
        <v>46246</v>
      </c>
      <c r="F100" s="12">
        <v>74</v>
      </c>
    </row>
    <row r="101" spans="1:6" x14ac:dyDescent="0.25">
      <c r="A101" s="6" t="s">
        <v>1587</v>
      </c>
      <c r="B101" s="6" t="s">
        <v>244</v>
      </c>
      <c r="C101" s="6" t="s">
        <v>1488</v>
      </c>
      <c r="D101" s="11">
        <v>46197</v>
      </c>
      <c r="E101" s="11">
        <v>46285</v>
      </c>
      <c r="F101" s="12">
        <v>10</v>
      </c>
    </row>
    <row r="102" spans="1:6" x14ac:dyDescent="0.25">
      <c r="A102" s="6" t="s">
        <v>1588</v>
      </c>
      <c r="B102" s="6" t="s">
        <v>244</v>
      </c>
      <c r="C102" s="6" t="s">
        <v>1490</v>
      </c>
      <c r="D102" s="11">
        <v>46271</v>
      </c>
      <c r="E102" s="11">
        <v>46295</v>
      </c>
      <c r="F102" s="12">
        <v>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F987-F93E-45B3-8345-ED14D2C17224}">
  <dimension ref="A1:D289"/>
  <sheetViews>
    <sheetView workbookViewId="0">
      <pane ySplit="1" topLeftCell="A2" activePane="bottomLeft" state="frozenSplit"/>
      <selection pane="bottomLeft" activeCell="A2" sqref="A2"/>
    </sheetView>
  </sheetViews>
  <sheetFormatPr defaultRowHeight="12.5" x14ac:dyDescent="0.25"/>
  <cols>
    <col min="1" max="1" width="10.6328125" style="6" customWidth="1"/>
    <col min="2" max="2" width="12.1796875" style="6" customWidth="1"/>
    <col min="3" max="3" width="12.54296875" style="6" customWidth="1"/>
    <col min="4" max="4" width="11" style="6" customWidth="1"/>
    <col min="5" max="16384" width="8.7265625" style="6"/>
  </cols>
  <sheetData>
    <row r="1" spans="1:4" ht="18" customHeight="1" x14ac:dyDescent="0.3">
      <c r="A1" s="10" t="s">
        <v>105</v>
      </c>
      <c r="B1" s="10" t="s">
        <v>1589</v>
      </c>
      <c r="C1" s="10" t="s">
        <v>1590</v>
      </c>
      <c r="D1" s="10" t="s">
        <v>1591</v>
      </c>
    </row>
    <row r="2" spans="1:4" x14ac:dyDescent="0.25">
      <c r="A2" s="6" t="s">
        <v>133</v>
      </c>
      <c r="B2" s="11">
        <v>46023.000003402776</v>
      </c>
      <c r="C2" s="12">
        <v>11</v>
      </c>
      <c r="D2" s="12">
        <v>10</v>
      </c>
    </row>
    <row r="3" spans="1:4" x14ac:dyDescent="0.25">
      <c r="A3" s="6" t="s">
        <v>133</v>
      </c>
      <c r="B3" s="11">
        <v>46054.000003402776</v>
      </c>
      <c r="C3" s="12">
        <v>20</v>
      </c>
      <c r="D3" s="12">
        <v>18</v>
      </c>
    </row>
    <row r="4" spans="1:4" x14ac:dyDescent="0.25">
      <c r="A4" s="6" t="s">
        <v>133</v>
      </c>
      <c r="B4" s="11">
        <v>46082.000003402776</v>
      </c>
      <c r="C4" s="12">
        <v>29</v>
      </c>
      <c r="D4" s="12">
        <v>26</v>
      </c>
    </row>
    <row r="5" spans="1:4" x14ac:dyDescent="0.25">
      <c r="A5" s="6" t="s">
        <v>133</v>
      </c>
      <c r="B5" s="11">
        <v>46113.000003425928</v>
      </c>
      <c r="C5" s="12">
        <v>39</v>
      </c>
      <c r="D5" s="12">
        <v>36</v>
      </c>
    </row>
    <row r="6" spans="1:4" x14ac:dyDescent="0.25">
      <c r="A6" s="6" t="s">
        <v>133</v>
      </c>
      <c r="B6" s="11">
        <v>46143.000003425928</v>
      </c>
      <c r="C6" s="12">
        <v>49</v>
      </c>
      <c r="D6" s="12">
        <v>46</v>
      </c>
    </row>
    <row r="7" spans="1:4" x14ac:dyDescent="0.25">
      <c r="A7" s="6" t="s">
        <v>133</v>
      </c>
      <c r="B7" s="11">
        <v>46174.000003425928</v>
      </c>
      <c r="C7" s="12">
        <v>59</v>
      </c>
      <c r="D7" s="12">
        <v>54</v>
      </c>
    </row>
    <row r="8" spans="1:4" x14ac:dyDescent="0.25">
      <c r="A8" s="6" t="s">
        <v>133</v>
      </c>
      <c r="B8" s="11">
        <v>46204.000003425928</v>
      </c>
      <c r="C8" s="12">
        <v>66</v>
      </c>
      <c r="D8" s="12">
        <v>62</v>
      </c>
    </row>
    <row r="9" spans="1:4" x14ac:dyDescent="0.25">
      <c r="A9" s="6" t="s">
        <v>133</v>
      </c>
      <c r="B9" s="11">
        <v>46235.000003425928</v>
      </c>
      <c r="C9" s="12">
        <v>71</v>
      </c>
      <c r="D9" s="12">
        <v>67</v>
      </c>
    </row>
    <row r="10" spans="1:4" x14ac:dyDescent="0.25">
      <c r="A10" s="6" t="s">
        <v>133</v>
      </c>
      <c r="B10" s="11">
        <v>46266.000003425928</v>
      </c>
      <c r="C10" s="12">
        <v>72</v>
      </c>
      <c r="D10" s="12"/>
    </row>
    <row r="11" spans="1:4" x14ac:dyDescent="0.25">
      <c r="A11" s="6" t="s">
        <v>133</v>
      </c>
      <c r="B11" s="11">
        <v>46296.000003425928</v>
      </c>
      <c r="C11" s="12">
        <v>72</v>
      </c>
      <c r="D11" s="12"/>
    </row>
    <row r="12" spans="1:4" x14ac:dyDescent="0.25">
      <c r="A12" s="6" t="s">
        <v>133</v>
      </c>
      <c r="B12" s="11">
        <v>46327.000003425928</v>
      </c>
      <c r="C12" s="12">
        <v>72</v>
      </c>
      <c r="D12" s="12"/>
    </row>
    <row r="13" spans="1:4" x14ac:dyDescent="0.25">
      <c r="A13" s="6" t="s">
        <v>133</v>
      </c>
      <c r="B13" s="11">
        <v>46357.000003425928</v>
      </c>
      <c r="C13" s="12">
        <v>72</v>
      </c>
      <c r="D13" s="12"/>
    </row>
    <row r="14" spans="1:4" x14ac:dyDescent="0.25">
      <c r="A14" s="6" t="s">
        <v>140</v>
      </c>
      <c r="B14" s="11">
        <v>46023.000003402776</v>
      </c>
      <c r="C14" s="12">
        <v>32</v>
      </c>
      <c r="D14" s="12">
        <v>32</v>
      </c>
    </row>
    <row r="15" spans="1:4" x14ac:dyDescent="0.25">
      <c r="A15" s="6" t="s">
        <v>140</v>
      </c>
      <c r="B15" s="11">
        <v>46054.000003402776</v>
      </c>
      <c r="C15" s="12">
        <v>39</v>
      </c>
      <c r="D15" s="12">
        <v>38</v>
      </c>
    </row>
    <row r="16" spans="1:4" x14ac:dyDescent="0.25">
      <c r="A16" s="6" t="s">
        <v>140</v>
      </c>
      <c r="B16" s="11">
        <v>46082.000003402776</v>
      </c>
      <c r="C16" s="12">
        <v>45</v>
      </c>
      <c r="D16" s="12">
        <v>44</v>
      </c>
    </row>
    <row r="17" spans="1:4" x14ac:dyDescent="0.25">
      <c r="A17" s="6" t="s">
        <v>140</v>
      </c>
      <c r="B17" s="11">
        <v>46113.000003425928</v>
      </c>
      <c r="C17" s="12">
        <v>51</v>
      </c>
      <c r="D17" s="12">
        <v>51</v>
      </c>
    </row>
    <row r="18" spans="1:4" x14ac:dyDescent="0.25">
      <c r="A18" s="6" t="s">
        <v>140</v>
      </c>
      <c r="B18" s="11">
        <v>46143.000003425928</v>
      </c>
      <c r="C18" s="12">
        <v>58</v>
      </c>
      <c r="D18" s="12">
        <v>57</v>
      </c>
    </row>
    <row r="19" spans="1:4" x14ac:dyDescent="0.25">
      <c r="A19" s="6" t="s">
        <v>140</v>
      </c>
      <c r="B19" s="11">
        <v>46174.000003425928</v>
      </c>
      <c r="C19" s="12">
        <v>64</v>
      </c>
      <c r="D19" s="12">
        <v>63</v>
      </c>
    </row>
    <row r="20" spans="1:4" x14ac:dyDescent="0.25">
      <c r="A20" s="6" t="s">
        <v>140</v>
      </c>
      <c r="B20" s="11">
        <v>46204.000003425928</v>
      </c>
      <c r="C20" s="12">
        <v>69</v>
      </c>
      <c r="D20" s="12">
        <v>68</v>
      </c>
    </row>
    <row r="21" spans="1:4" x14ac:dyDescent="0.25">
      <c r="A21" s="6" t="s">
        <v>140</v>
      </c>
      <c r="B21" s="11">
        <v>46235.000003425928</v>
      </c>
      <c r="C21" s="12">
        <v>73</v>
      </c>
      <c r="D21" s="12">
        <v>72</v>
      </c>
    </row>
    <row r="22" spans="1:4" x14ac:dyDescent="0.25">
      <c r="A22" s="6" t="s">
        <v>140</v>
      </c>
      <c r="B22" s="11">
        <v>46266.000003425928</v>
      </c>
      <c r="C22" s="12">
        <v>77</v>
      </c>
      <c r="D22" s="12"/>
    </row>
    <row r="23" spans="1:4" x14ac:dyDescent="0.25">
      <c r="A23" s="6" t="s">
        <v>140</v>
      </c>
      <c r="B23" s="11">
        <v>46296.000003425928</v>
      </c>
      <c r="C23" s="12">
        <v>79</v>
      </c>
      <c r="D23" s="12"/>
    </row>
    <row r="24" spans="1:4" x14ac:dyDescent="0.25">
      <c r="A24" s="6" t="s">
        <v>140</v>
      </c>
      <c r="B24" s="11">
        <v>46327.000003425928</v>
      </c>
      <c r="C24" s="12">
        <v>80</v>
      </c>
      <c r="D24" s="12"/>
    </row>
    <row r="25" spans="1:4" x14ac:dyDescent="0.25">
      <c r="A25" s="6" t="s">
        <v>140</v>
      </c>
      <c r="B25" s="11">
        <v>46357.000003425928</v>
      </c>
      <c r="C25" s="12">
        <v>80</v>
      </c>
      <c r="D25" s="12"/>
    </row>
    <row r="26" spans="1:4" x14ac:dyDescent="0.25">
      <c r="A26" s="6" t="s">
        <v>146</v>
      </c>
      <c r="B26" s="11">
        <v>46023.000003402776</v>
      </c>
      <c r="C26" s="12">
        <v>0</v>
      </c>
      <c r="D26" s="12">
        <v>0</v>
      </c>
    </row>
    <row r="27" spans="1:4" x14ac:dyDescent="0.25">
      <c r="A27" s="6" t="s">
        <v>146</v>
      </c>
      <c r="B27" s="11">
        <v>46054.000003402776</v>
      </c>
      <c r="C27" s="12">
        <v>0</v>
      </c>
      <c r="D27" s="12">
        <v>0</v>
      </c>
    </row>
    <row r="28" spans="1:4" x14ac:dyDescent="0.25">
      <c r="A28" s="6" t="s">
        <v>146</v>
      </c>
      <c r="B28" s="11">
        <v>46082.000003402776</v>
      </c>
      <c r="C28" s="12">
        <v>0</v>
      </c>
      <c r="D28" s="12">
        <v>0</v>
      </c>
    </row>
    <row r="29" spans="1:4" x14ac:dyDescent="0.25">
      <c r="A29" s="6" t="s">
        <v>146</v>
      </c>
      <c r="B29" s="11">
        <v>46113.000003425928</v>
      </c>
      <c r="C29" s="12">
        <v>0</v>
      </c>
      <c r="D29" s="12">
        <v>0</v>
      </c>
    </row>
    <row r="30" spans="1:4" x14ac:dyDescent="0.25">
      <c r="A30" s="6" t="s">
        <v>146</v>
      </c>
      <c r="B30" s="11">
        <v>46143.000003425928</v>
      </c>
      <c r="C30" s="12">
        <v>0</v>
      </c>
      <c r="D30" s="12">
        <v>0</v>
      </c>
    </row>
    <row r="31" spans="1:4" x14ac:dyDescent="0.25">
      <c r="A31" s="6" t="s">
        <v>146</v>
      </c>
      <c r="B31" s="11">
        <v>46174.000003425928</v>
      </c>
      <c r="C31" s="12">
        <v>0</v>
      </c>
      <c r="D31" s="12">
        <v>0</v>
      </c>
    </row>
    <row r="32" spans="1:4" x14ac:dyDescent="0.25">
      <c r="A32" s="6" t="s">
        <v>146</v>
      </c>
      <c r="B32" s="11">
        <v>46204.000003425928</v>
      </c>
      <c r="C32" s="12">
        <v>2</v>
      </c>
      <c r="D32" s="12">
        <v>2</v>
      </c>
    </row>
    <row r="33" spans="1:4" x14ac:dyDescent="0.25">
      <c r="A33" s="6" t="s">
        <v>146</v>
      </c>
      <c r="B33" s="11">
        <v>46235.000003425928</v>
      </c>
      <c r="C33" s="12">
        <v>25</v>
      </c>
      <c r="D33" s="12">
        <v>22</v>
      </c>
    </row>
    <row r="34" spans="1:4" x14ac:dyDescent="0.25">
      <c r="A34" s="6" t="s">
        <v>146</v>
      </c>
      <c r="B34" s="11">
        <v>46266.000003425928</v>
      </c>
      <c r="C34" s="12">
        <v>69</v>
      </c>
      <c r="D34" s="12"/>
    </row>
    <row r="35" spans="1:4" x14ac:dyDescent="0.25">
      <c r="A35" s="6" t="s">
        <v>146</v>
      </c>
      <c r="B35" s="11">
        <v>46296.000003425928</v>
      </c>
      <c r="C35" s="12">
        <v>100</v>
      </c>
      <c r="D35" s="12"/>
    </row>
    <row r="36" spans="1:4" x14ac:dyDescent="0.25">
      <c r="A36" s="6" t="s">
        <v>146</v>
      </c>
      <c r="B36" s="11">
        <v>46327.000003425928</v>
      </c>
      <c r="C36" s="12">
        <v>100</v>
      </c>
      <c r="D36" s="12"/>
    </row>
    <row r="37" spans="1:4" x14ac:dyDescent="0.25">
      <c r="A37" s="6" t="s">
        <v>146</v>
      </c>
      <c r="B37" s="11">
        <v>46357.000003425928</v>
      </c>
      <c r="C37" s="12">
        <v>100</v>
      </c>
      <c r="D37" s="12"/>
    </row>
    <row r="38" spans="1:4" x14ac:dyDescent="0.25">
      <c r="A38" s="6" t="s">
        <v>152</v>
      </c>
      <c r="B38" s="11">
        <v>46023.000003402776</v>
      </c>
      <c r="C38" s="12">
        <v>11</v>
      </c>
      <c r="D38" s="12">
        <v>10</v>
      </c>
    </row>
    <row r="39" spans="1:4" x14ac:dyDescent="0.25">
      <c r="A39" s="6" t="s">
        <v>152</v>
      </c>
      <c r="B39" s="11">
        <v>46054.000003402776</v>
      </c>
      <c r="C39" s="12">
        <v>18</v>
      </c>
      <c r="D39" s="12">
        <v>15</v>
      </c>
    </row>
    <row r="40" spans="1:4" x14ac:dyDescent="0.25">
      <c r="A40" s="6" t="s">
        <v>152</v>
      </c>
      <c r="B40" s="11">
        <v>46082.000003402776</v>
      </c>
      <c r="C40" s="12">
        <v>24</v>
      </c>
      <c r="D40" s="12">
        <v>21</v>
      </c>
    </row>
    <row r="41" spans="1:4" x14ac:dyDescent="0.25">
      <c r="A41" s="6" t="s">
        <v>152</v>
      </c>
      <c r="B41" s="11">
        <v>46113.000003425928</v>
      </c>
      <c r="C41" s="12">
        <v>31</v>
      </c>
      <c r="D41" s="12">
        <v>27</v>
      </c>
    </row>
    <row r="42" spans="1:4" x14ac:dyDescent="0.25">
      <c r="A42" s="6" t="s">
        <v>152</v>
      </c>
      <c r="B42" s="11">
        <v>46143.000003425928</v>
      </c>
      <c r="C42" s="12">
        <v>38</v>
      </c>
      <c r="D42" s="12">
        <v>33</v>
      </c>
    </row>
    <row r="43" spans="1:4" x14ac:dyDescent="0.25">
      <c r="A43" s="6" t="s">
        <v>152</v>
      </c>
      <c r="B43" s="11">
        <v>46174.000003425928</v>
      </c>
      <c r="C43" s="12">
        <v>45</v>
      </c>
      <c r="D43" s="12">
        <v>40</v>
      </c>
    </row>
    <row r="44" spans="1:4" x14ac:dyDescent="0.25">
      <c r="A44" s="6" t="s">
        <v>152</v>
      </c>
      <c r="B44" s="11">
        <v>46204.000003425928</v>
      </c>
      <c r="C44" s="12">
        <v>51</v>
      </c>
      <c r="D44" s="12">
        <v>45</v>
      </c>
    </row>
    <row r="45" spans="1:4" x14ac:dyDescent="0.25">
      <c r="A45" s="6" t="s">
        <v>152</v>
      </c>
      <c r="B45" s="11">
        <v>46235.000003425928</v>
      </c>
      <c r="C45" s="12">
        <v>56</v>
      </c>
      <c r="D45" s="12">
        <v>50</v>
      </c>
    </row>
    <row r="46" spans="1:4" x14ac:dyDescent="0.25">
      <c r="A46" s="6" t="s">
        <v>152</v>
      </c>
      <c r="B46" s="11">
        <v>46266.000003425928</v>
      </c>
      <c r="C46" s="12">
        <v>60</v>
      </c>
      <c r="D46" s="12"/>
    </row>
    <row r="47" spans="1:4" x14ac:dyDescent="0.25">
      <c r="A47" s="6" t="s">
        <v>152</v>
      </c>
      <c r="B47" s="11">
        <v>46296.000003425928</v>
      </c>
      <c r="C47" s="12">
        <v>62</v>
      </c>
      <c r="D47" s="12"/>
    </row>
    <row r="48" spans="1:4" x14ac:dyDescent="0.25">
      <c r="A48" s="6" t="s">
        <v>152</v>
      </c>
      <c r="B48" s="11">
        <v>46327.000003425928</v>
      </c>
      <c r="C48" s="12">
        <v>62</v>
      </c>
      <c r="D48" s="12"/>
    </row>
    <row r="49" spans="1:4" x14ac:dyDescent="0.25">
      <c r="A49" s="6" t="s">
        <v>152</v>
      </c>
      <c r="B49" s="11">
        <v>46357.000003425928</v>
      </c>
      <c r="C49" s="12">
        <v>62</v>
      </c>
      <c r="D49" s="12"/>
    </row>
    <row r="50" spans="1:4" x14ac:dyDescent="0.25">
      <c r="A50" s="6" t="s">
        <v>158</v>
      </c>
      <c r="B50" s="11">
        <v>46023.000003402776</v>
      </c>
      <c r="C50" s="12">
        <v>34</v>
      </c>
      <c r="D50" s="12">
        <v>35</v>
      </c>
    </row>
    <row r="51" spans="1:4" x14ac:dyDescent="0.25">
      <c r="A51" s="6" t="s">
        <v>158</v>
      </c>
      <c r="B51" s="11">
        <v>46054.000003402776</v>
      </c>
      <c r="C51" s="12">
        <v>43</v>
      </c>
      <c r="D51" s="12">
        <v>44</v>
      </c>
    </row>
    <row r="52" spans="1:4" x14ac:dyDescent="0.25">
      <c r="A52" s="6" t="s">
        <v>158</v>
      </c>
      <c r="B52" s="11">
        <v>46082.000003402776</v>
      </c>
      <c r="C52" s="12">
        <v>50</v>
      </c>
      <c r="D52" s="12">
        <v>52</v>
      </c>
    </row>
    <row r="53" spans="1:4" x14ac:dyDescent="0.25">
      <c r="A53" s="6" t="s">
        <v>158</v>
      </c>
      <c r="B53" s="11">
        <v>46113.000003425928</v>
      </c>
      <c r="C53" s="12">
        <v>59</v>
      </c>
      <c r="D53" s="12">
        <v>60</v>
      </c>
    </row>
    <row r="54" spans="1:4" x14ac:dyDescent="0.25">
      <c r="A54" s="6" t="s">
        <v>158</v>
      </c>
      <c r="B54" s="11">
        <v>46143.000003425928</v>
      </c>
      <c r="C54" s="12">
        <v>66</v>
      </c>
      <c r="D54" s="12">
        <v>68</v>
      </c>
    </row>
    <row r="55" spans="1:4" x14ac:dyDescent="0.25">
      <c r="A55" s="6" t="s">
        <v>158</v>
      </c>
      <c r="B55" s="11">
        <v>46174.000003425928</v>
      </c>
      <c r="C55" s="12">
        <v>73</v>
      </c>
      <c r="D55" s="12">
        <v>75</v>
      </c>
    </row>
    <row r="56" spans="1:4" x14ac:dyDescent="0.25">
      <c r="A56" s="6" t="s">
        <v>158</v>
      </c>
      <c r="B56" s="11">
        <v>46204.000003425928</v>
      </c>
      <c r="C56" s="12">
        <v>79</v>
      </c>
      <c r="D56" s="12">
        <v>81</v>
      </c>
    </row>
    <row r="57" spans="1:4" x14ac:dyDescent="0.25">
      <c r="A57" s="6" t="s">
        <v>158</v>
      </c>
      <c r="B57" s="11">
        <v>46235.000003425928</v>
      </c>
      <c r="C57" s="12">
        <v>83</v>
      </c>
      <c r="D57" s="12">
        <v>85</v>
      </c>
    </row>
    <row r="58" spans="1:4" x14ac:dyDescent="0.25">
      <c r="A58" s="6" t="s">
        <v>158</v>
      </c>
      <c r="B58" s="11">
        <v>46266.000003425928</v>
      </c>
      <c r="C58" s="12">
        <v>85</v>
      </c>
      <c r="D58" s="12"/>
    </row>
    <row r="59" spans="1:4" x14ac:dyDescent="0.25">
      <c r="A59" s="6" t="s">
        <v>158</v>
      </c>
      <c r="B59" s="11">
        <v>46296.000003425928</v>
      </c>
      <c r="C59" s="12">
        <v>85</v>
      </c>
      <c r="D59" s="12"/>
    </row>
    <row r="60" spans="1:4" x14ac:dyDescent="0.25">
      <c r="A60" s="6" t="s">
        <v>158</v>
      </c>
      <c r="B60" s="11">
        <v>46327.000003425928</v>
      </c>
      <c r="C60" s="12">
        <v>85</v>
      </c>
      <c r="D60" s="12"/>
    </row>
    <row r="61" spans="1:4" x14ac:dyDescent="0.25">
      <c r="A61" s="6" t="s">
        <v>158</v>
      </c>
      <c r="B61" s="11">
        <v>46357.000003425928</v>
      </c>
      <c r="C61" s="12">
        <v>85</v>
      </c>
      <c r="D61" s="12"/>
    </row>
    <row r="62" spans="1:4" x14ac:dyDescent="0.25">
      <c r="A62" s="6" t="s">
        <v>164</v>
      </c>
      <c r="B62" s="11">
        <v>46023.000003402776</v>
      </c>
      <c r="C62" s="12">
        <v>0</v>
      </c>
      <c r="D62" s="12">
        <v>0</v>
      </c>
    </row>
    <row r="63" spans="1:4" x14ac:dyDescent="0.25">
      <c r="A63" s="6" t="s">
        <v>164</v>
      </c>
      <c r="B63" s="11">
        <v>46054.000003402776</v>
      </c>
      <c r="C63" s="12">
        <v>0</v>
      </c>
      <c r="D63" s="12">
        <v>0</v>
      </c>
    </row>
    <row r="64" spans="1:4" x14ac:dyDescent="0.25">
      <c r="A64" s="6" t="s">
        <v>164</v>
      </c>
      <c r="B64" s="11">
        <v>46082.000003402776</v>
      </c>
      <c r="C64" s="12">
        <v>0</v>
      </c>
      <c r="D64" s="12">
        <v>0</v>
      </c>
    </row>
    <row r="65" spans="1:4" x14ac:dyDescent="0.25">
      <c r="A65" s="6" t="s">
        <v>164</v>
      </c>
      <c r="B65" s="11">
        <v>46113.000003425928</v>
      </c>
      <c r="C65" s="12">
        <v>0</v>
      </c>
      <c r="D65" s="12">
        <v>0</v>
      </c>
    </row>
    <row r="66" spans="1:4" x14ac:dyDescent="0.25">
      <c r="A66" s="6" t="s">
        <v>164</v>
      </c>
      <c r="B66" s="11">
        <v>46143.000003425928</v>
      </c>
      <c r="C66" s="12">
        <v>0</v>
      </c>
      <c r="D66" s="12">
        <v>0</v>
      </c>
    </row>
    <row r="67" spans="1:4" x14ac:dyDescent="0.25">
      <c r="A67" s="6" t="s">
        <v>164</v>
      </c>
      <c r="B67" s="11">
        <v>46174.000003425928</v>
      </c>
      <c r="C67" s="12">
        <v>0</v>
      </c>
      <c r="D67" s="12">
        <v>0</v>
      </c>
    </row>
    <row r="68" spans="1:4" x14ac:dyDescent="0.25">
      <c r="A68" s="6" t="s">
        <v>164</v>
      </c>
      <c r="B68" s="11">
        <v>46204.000003425928</v>
      </c>
      <c r="C68" s="12">
        <v>8</v>
      </c>
      <c r="D68" s="12">
        <v>8</v>
      </c>
    </row>
    <row r="69" spans="1:4" x14ac:dyDescent="0.25">
      <c r="A69" s="6" t="s">
        <v>164</v>
      </c>
      <c r="B69" s="11">
        <v>46235.000003425928</v>
      </c>
      <c r="C69" s="12">
        <v>31</v>
      </c>
      <c r="D69" s="12">
        <v>30</v>
      </c>
    </row>
    <row r="70" spans="1:4" x14ac:dyDescent="0.25">
      <c r="A70" s="6" t="s">
        <v>164</v>
      </c>
      <c r="B70" s="11">
        <v>46266.000003425928</v>
      </c>
      <c r="C70" s="12">
        <v>64</v>
      </c>
      <c r="D70" s="12"/>
    </row>
    <row r="71" spans="1:4" x14ac:dyDescent="0.25">
      <c r="A71" s="6" t="s">
        <v>164</v>
      </c>
      <c r="B71" s="11">
        <v>46296.000003425928</v>
      </c>
      <c r="C71" s="12">
        <v>100</v>
      </c>
      <c r="D71" s="12"/>
    </row>
    <row r="72" spans="1:4" x14ac:dyDescent="0.25">
      <c r="A72" s="6" t="s">
        <v>164</v>
      </c>
      <c r="B72" s="11">
        <v>46327.000003425928</v>
      </c>
      <c r="C72" s="12">
        <v>100</v>
      </c>
      <c r="D72" s="12"/>
    </row>
    <row r="73" spans="1:4" x14ac:dyDescent="0.25">
      <c r="A73" s="6" t="s">
        <v>164</v>
      </c>
      <c r="B73" s="11">
        <v>46357.000003425928</v>
      </c>
      <c r="C73" s="12">
        <v>100</v>
      </c>
      <c r="D73" s="12"/>
    </row>
    <row r="74" spans="1:4" x14ac:dyDescent="0.25">
      <c r="A74" s="6" t="s">
        <v>179</v>
      </c>
      <c r="B74" s="11">
        <v>46023.000003402776</v>
      </c>
      <c r="C74" s="12">
        <v>0</v>
      </c>
      <c r="D74" s="12">
        <v>0</v>
      </c>
    </row>
    <row r="75" spans="1:4" x14ac:dyDescent="0.25">
      <c r="A75" s="6" t="s">
        <v>179</v>
      </c>
      <c r="B75" s="11">
        <v>46054.000003402776</v>
      </c>
      <c r="C75" s="12">
        <v>0</v>
      </c>
      <c r="D75" s="12">
        <v>0</v>
      </c>
    </row>
    <row r="76" spans="1:4" x14ac:dyDescent="0.25">
      <c r="A76" s="6" t="s">
        <v>179</v>
      </c>
      <c r="B76" s="11">
        <v>46082.000003402776</v>
      </c>
      <c r="C76" s="12">
        <v>0</v>
      </c>
      <c r="D76" s="12">
        <v>0</v>
      </c>
    </row>
    <row r="77" spans="1:4" x14ac:dyDescent="0.25">
      <c r="A77" s="6" t="s">
        <v>179</v>
      </c>
      <c r="B77" s="11">
        <v>46113.000003425928</v>
      </c>
      <c r="C77" s="12">
        <v>0</v>
      </c>
      <c r="D77" s="12">
        <v>0</v>
      </c>
    </row>
    <row r="78" spans="1:4" x14ac:dyDescent="0.25">
      <c r="A78" s="6" t="s">
        <v>179</v>
      </c>
      <c r="B78" s="11">
        <v>46143.000003425928</v>
      </c>
      <c r="C78" s="12">
        <v>1</v>
      </c>
      <c r="D78" s="12">
        <v>1</v>
      </c>
    </row>
    <row r="79" spans="1:4" x14ac:dyDescent="0.25">
      <c r="A79" s="6" t="s">
        <v>179</v>
      </c>
      <c r="B79" s="11">
        <v>46174.000003425928</v>
      </c>
      <c r="C79" s="12">
        <v>7</v>
      </c>
      <c r="D79" s="12">
        <v>6</v>
      </c>
    </row>
    <row r="80" spans="1:4" x14ac:dyDescent="0.25">
      <c r="A80" s="6" t="s">
        <v>179</v>
      </c>
      <c r="B80" s="11">
        <v>46204.000003425928</v>
      </c>
      <c r="C80" s="12">
        <v>15</v>
      </c>
      <c r="D80" s="12">
        <v>13</v>
      </c>
    </row>
    <row r="81" spans="1:4" x14ac:dyDescent="0.25">
      <c r="A81" s="6" t="s">
        <v>179</v>
      </c>
      <c r="B81" s="11">
        <v>46235.000003425928</v>
      </c>
      <c r="C81" s="12">
        <v>27</v>
      </c>
      <c r="D81" s="12">
        <v>23</v>
      </c>
    </row>
    <row r="82" spans="1:4" x14ac:dyDescent="0.25">
      <c r="A82" s="6" t="s">
        <v>179</v>
      </c>
      <c r="B82" s="11">
        <v>46266.000003425928</v>
      </c>
      <c r="C82" s="12">
        <v>39</v>
      </c>
      <c r="D82" s="12"/>
    </row>
    <row r="83" spans="1:4" x14ac:dyDescent="0.25">
      <c r="A83" s="6" t="s">
        <v>179</v>
      </c>
      <c r="B83" s="11">
        <v>46296.000003425928</v>
      </c>
      <c r="C83" s="12">
        <v>50</v>
      </c>
      <c r="D83" s="12"/>
    </row>
    <row r="84" spans="1:4" x14ac:dyDescent="0.25">
      <c r="A84" s="6" t="s">
        <v>179</v>
      </c>
      <c r="B84" s="11">
        <v>46327.000003425928</v>
      </c>
      <c r="C84" s="12">
        <v>61</v>
      </c>
      <c r="D84" s="12"/>
    </row>
    <row r="85" spans="1:4" x14ac:dyDescent="0.25">
      <c r="A85" s="6" t="s">
        <v>179</v>
      </c>
      <c r="B85" s="11">
        <v>46357.000003425928</v>
      </c>
      <c r="C85" s="12">
        <v>68</v>
      </c>
      <c r="D85" s="12"/>
    </row>
    <row r="86" spans="1:4" x14ac:dyDescent="0.25">
      <c r="A86" s="6" t="s">
        <v>185</v>
      </c>
      <c r="B86" s="11">
        <v>46023.000003402776</v>
      </c>
      <c r="C86" s="12">
        <v>0</v>
      </c>
      <c r="D86" s="12">
        <v>0</v>
      </c>
    </row>
    <row r="87" spans="1:4" x14ac:dyDescent="0.25">
      <c r="A87" s="6" t="s">
        <v>185</v>
      </c>
      <c r="B87" s="11">
        <v>46054.000003402776</v>
      </c>
      <c r="C87" s="12">
        <v>0</v>
      </c>
      <c r="D87" s="12">
        <v>0</v>
      </c>
    </row>
    <row r="88" spans="1:4" x14ac:dyDescent="0.25">
      <c r="A88" s="6" t="s">
        <v>185</v>
      </c>
      <c r="B88" s="11">
        <v>46082.000003402776</v>
      </c>
      <c r="C88" s="12">
        <v>0</v>
      </c>
      <c r="D88" s="12">
        <v>0</v>
      </c>
    </row>
    <row r="89" spans="1:4" x14ac:dyDescent="0.25">
      <c r="A89" s="6" t="s">
        <v>185</v>
      </c>
      <c r="B89" s="11">
        <v>46113.000003425928</v>
      </c>
      <c r="C89" s="12">
        <v>0</v>
      </c>
      <c r="D89" s="12">
        <v>0</v>
      </c>
    </row>
    <row r="90" spans="1:4" x14ac:dyDescent="0.25">
      <c r="A90" s="6" t="s">
        <v>185</v>
      </c>
      <c r="B90" s="11">
        <v>46143.000003425928</v>
      </c>
      <c r="C90" s="12">
        <v>0</v>
      </c>
      <c r="D90" s="12">
        <v>0</v>
      </c>
    </row>
    <row r="91" spans="1:4" x14ac:dyDescent="0.25">
      <c r="A91" s="6" t="s">
        <v>185</v>
      </c>
      <c r="B91" s="11">
        <v>46174.000003425928</v>
      </c>
      <c r="C91" s="12">
        <v>2</v>
      </c>
      <c r="D91" s="12">
        <v>2</v>
      </c>
    </row>
    <row r="92" spans="1:4" x14ac:dyDescent="0.25">
      <c r="A92" s="6" t="s">
        <v>185</v>
      </c>
      <c r="B92" s="11">
        <v>46204.000003425928</v>
      </c>
      <c r="C92" s="12">
        <v>10</v>
      </c>
      <c r="D92" s="12">
        <v>8</v>
      </c>
    </row>
    <row r="93" spans="1:4" x14ac:dyDescent="0.25">
      <c r="A93" s="6" t="s">
        <v>185</v>
      </c>
      <c r="B93" s="11">
        <v>46235.000003425928</v>
      </c>
      <c r="C93" s="12">
        <v>22</v>
      </c>
      <c r="D93" s="12">
        <v>17</v>
      </c>
    </row>
    <row r="94" spans="1:4" x14ac:dyDescent="0.25">
      <c r="A94" s="6" t="s">
        <v>185</v>
      </c>
      <c r="B94" s="11">
        <v>46266.000003425928</v>
      </c>
      <c r="C94" s="12">
        <v>36</v>
      </c>
      <c r="D94" s="12"/>
    </row>
    <row r="95" spans="1:4" x14ac:dyDescent="0.25">
      <c r="A95" s="6" t="s">
        <v>185</v>
      </c>
      <c r="B95" s="11">
        <v>46296.000003425928</v>
      </c>
      <c r="C95" s="12">
        <v>51</v>
      </c>
      <c r="D95" s="12"/>
    </row>
    <row r="96" spans="1:4" x14ac:dyDescent="0.25">
      <c r="A96" s="6" t="s">
        <v>185</v>
      </c>
      <c r="B96" s="11">
        <v>46327.000003425928</v>
      </c>
      <c r="C96" s="12">
        <v>65</v>
      </c>
      <c r="D96" s="12"/>
    </row>
    <row r="97" spans="1:4" x14ac:dyDescent="0.25">
      <c r="A97" s="6" t="s">
        <v>185</v>
      </c>
      <c r="B97" s="11">
        <v>46357.000003425928</v>
      </c>
      <c r="C97" s="12">
        <v>78</v>
      </c>
      <c r="D97" s="12"/>
    </row>
    <row r="98" spans="1:4" x14ac:dyDescent="0.25">
      <c r="A98" s="6" t="s">
        <v>189</v>
      </c>
      <c r="B98" s="11">
        <v>46023.000003402776</v>
      </c>
      <c r="C98" s="12">
        <v>0</v>
      </c>
      <c r="D98" s="12">
        <v>0</v>
      </c>
    </row>
    <row r="99" spans="1:4" x14ac:dyDescent="0.25">
      <c r="A99" s="6" t="s">
        <v>189</v>
      </c>
      <c r="B99" s="11">
        <v>46054.000003402776</v>
      </c>
      <c r="C99" s="12">
        <v>0</v>
      </c>
      <c r="D99" s="12">
        <v>0</v>
      </c>
    </row>
    <row r="100" spans="1:4" x14ac:dyDescent="0.25">
      <c r="A100" s="6" t="s">
        <v>189</v>
      </c>
      <c r="B100" s="11">
        <v>46082.000003402776</v>
      </c>
      <c r="C100" s="12">
        <v>0</v>
      </c>
      <c r="D100" s="12">
        <v>0</v>
      </c>
    </row>
    <row r="101" spans="1:4" x14ac:dyDescent="0.25">
      <c r="A101" s="6" t="s">
        <v>189</v>
      </c>
      <c r="B101" s="11">
        <v>46113.000003425928</v>
      </c>
      <c r="C101" s="12">
        <v>0</v>
      </c>
      <c r="D101" s="12">
        <v>0</v>
      </c>
    </row>
    <row r="102" spans="1:4" x14ac:dyDescent="0.25">
      <c r="A102" s="6" t="s">
        <v>189</v>
      </c>
      <c r="B102" s="11">
        <v>46143.000003425928</v>
      </c>
      <c r="C102" s="12">
        <v>1</v>
      </c>
      <c r="D102" s="12">
        <v>0</v>
      </c>
    </row>
    <row r="103" spans="1:4" x14ac:dyDescent="0.25">
      <c r="A103" s="6" t="s">
        <v>189</v>
      </c>
      <c r="B103" s="11">
        <v>46174.000003425928</v>
      </c>
      <c r="C103" s="12">
        <v>7</v>
      </c>
      <c r="D103" s="12">
        <v>6</v>
      </c>
    </row>
    <row r="104" spans="1:4" x14ac:dyDescent="0.25">
      <c r="A104" s="6" t="s">
        <v>189</v>
      </c>
      <c r="B104" s="11">
        <v>46204.000003425928</v>
      </c>
      <c r="C104" s="12">
        <v>18</v>
      </c>
      <c r="D104" s="12">
        <v>16</v>
      </c>
    </row>
    <row r="105" spans="1:4" x14ac:dyDescent="0.25">
      <c r="A105" s="6" t="s">
        <v>189</v>
      </c>
      <c r="B105" s="11">
        <v>46235.000003425928</v>
      </c>
      <c r="C105" s="12">
        <v>33</v>
      </c>
      <c r="D105" s="12">
        <v>29</v>
      </c>
    </row>
    <row r="106" spans="1:4" x14ac:dyDescent="0.25">
      <c r="A106" s="6" t="s">
        <v>189</v>
      </c>
      <c r="B106" s="11">
        <v>46266.000003425928</v>
      </c>
      <c r="C106" s="12">
        <v>49</v>
      </c>
      <c r="D106" s="12"/>
    </row>
    <row r="107" spans="1:4" x14ac:dyDescent="0.25">
      <c r="A107" s="6" t="s">
        <v>189</v>
      </c>
      <c r="B107" s="11">
        <v>46296.000003425928</v>
      </c>
      <c r="C107" s="12">
        <v>64</v>
      </c>
      <c r="D107" s="12"/>
    </row>
    <row r="108" spans="1:4" x14ac:dyDescent="0.25">
      <c r="A108" s="6" t="s">
        <v>189</v>
      </c>
      <c r="B108" s="11">
        <v>46327.000003425928</v>
      </c>
      <c r="C108" s="12">
        <v>76</v>
      </c>
      <c r="D108" s="12"/>
    </row>
    <row r="109" spans="1:4" x14ac:dyDescent="0.25">
      <c r="A109" s="6" t="s">
        <v>189</v>
      </c>
      <c r="B109" s="11">
        <v>46357.000003425928</v>
      </c>
      <c r="C109" s="12">
        <v>84</v>
      </c>
      <c r="D109" s="12"/>
    </row>
    <row r="110" spans="1:4" x14ac:dyDescent="0.25">
      <c r="A110" s="6" t="s">
        <v>195</v>
      </c>
      <c r="B110" s="11">
        <v>46023.000003402776</v>
      </c>
      <c r="C110" s="12">
        <v>0</v>
      </c>
      <c r="D110" s="12">
        <v>0</v>
      </c>
    </row>
    <row r="111" spans="1:4" x14ac:dyDescent="0.25">
      <c r="A111" s="6" t="s">
        <v>195</v>
      </c>
      <c r="B111" s="11">
        <v>46054.000003402776</v>
      </c>
      <c r="C111" s="12">
        <v>0</v>
      </c>
      <c r="D111" s="12">
        <v>0</v>
      </c>
    </row>
    <row r="112" spans="1:4" x14ac:dyDescent="0.25">
      <c r="A112" s="6" t="s">
        <v>195</v>
      </c>
      <c r="B112" s="11">
        <v>46082.000003402776</v>
      </c>
      <c r="C112" s="12">
        <v>0</v>
      </c>
      <c r="D112" s="12">
        <v>0</v>
      </c>
    </row>
    <row r="113" spans="1:4" x14ac:dyDescent="0.25">
      <c r="A113" s="6" t="s">
        <v>195</v>
      </c>
      <c r="B113" s="11">
        <v>46113.000003425928</v>
      </c>
      <c r="C113" s="12">
        <v>0</v>
      </c>
      <c r="D113" s="12">
        <v>0</v>
      </c>
    </row>
    <row r="114" spans="1:4" x14ac:dyDescent="0.25">
      <c r="A114" s="6" t="s">
        <v>195</v>
      </c>
      <c r="B114" s="11">
        <v>46143.000003425928</v>
      </c>
      <c r="C114" s="12">
        <v>0</v>
      </c>
      <c r="D114" s="12">
        <v>0</v>
      </c>
    </row>
    <row r="115" spans="1:4" x14ac:dyDescent="0.25">
      <c r="A115" s="6" t="s">
        <v>195</v>
      </c>
      <c r="B115" s="11">
        <v>46174.000003425928</v>
      </c>
      <c r="C115" s="12">
        <v>0</v>
      </c>
      <c r="D115" s="12">
        <v>0</v>
      </c>
    </row>
    <row r="116" spans="1:4" x14ac:dyDescent="0.25">
      <c r="A116" s="6" t="s">
        <v>195</v>
      </c>
      <c r="B116" s="11">
        <v>46204.000003425928</v>
      </c>
      <c r="C116" s="12">
        <v>0</v>
      </c>
      <c r="D116" s="12">
        <v>0</v>
      </c>
    </row>
    <row r="117" spans="1:4" x14ac:dyDescent="0.25">
      <c r="A117" s="6" t="s">
        <v>195</v>
      </c>
      <c r="B117" s="11">
        <v>46235.000003425928</v>
      </c>
      <c r="C117" s="12">
        <v>0</v>
      </c>
      <c r="D117" s="12">
        <v>0</v>
      </c>
    </row>
    <row r="118" spans="1:4" x14ac:dyDescent="0.25">
      <c r="A118" s="6" t="s">
        <v>195</v>
      </c>
      <c r="B118" s="11">
        <v>46266.000003425928</v>
      </c>
      <c r="C118" s="12">
        <v>0</v>
      </c>
      <c r="D118" s="12"/>
    </row>
    <row r="119" spans="1:4" x14ac:dyDescent="0.25">
      <c r="A119" s="6" t="s">
        <v>195</v>
      </c>
      <c r="B119" s="11">
        <v>46296.000003425928</v>
      </c>
      <c r="C119" s="12">
        <v>0</v>
      </c>
      <c r="D119" s="12"/>
    </row>
    <row r="120" spans="1:4" x14ac:dyDescent="0.25">
      <c r="A120" s="6" t="s">
        <v>195</v>
      </c>
      <c r="B120" s="11">
        <v>46327.000003425928</v>
      </c>
      <c r="C120" s="12">
        <v>0</v>
      </c>
      <c r="D120" s="12"/>
    </row>
    <row r="121" spans="1:4" x14ac:dyDescent="0.25">
      <c r="A121" s="6" t="s">
        <v>195</v>
      </c>
      <c r="B121" s="11">
        <v>46357.000003425928</v>
      </c>
      <c r="C121" s="12">
        <v>0</v>
      </c>
      <c r="D121" s="12"/>
    </row>
    <row r="122" spans="1:4" x14ac:dyDescent="0.25">
      <c r="A122" s="6" t="s">
        <v>199</v>
      </c>
      <c r="B122" s="11">
        <v>46023.000003402776</v>
      </c>
      <c r="C122" s="12">
        <v>0</v>
      </c>
      <c r="D122" s="12">
        <v>0</v>
      </c>
    </row>
    <row r="123" spans="1:4" x14ac:dyDescent="0.25">
      <c r="A123" s="6" t="s">
        <v>199</v>
      </c>
      <c r="B123" s="11">
        <v>46054.000003402776</v>
      </c>
      <c r="C123" s="12">
        <v>0</v>
      </c>
      <c r="D123" s="12">
        <v>0</v>
      </c>
    </row>
    <row r="124" spans="1:4" x14ac:dyDescent="0.25">
      <c r="A124" s="6" t="s">
        <v>199</v>
      </c>
      <c r="B124" s="11">
        <v>46082.000003402776</v>
      </c>
      <c r="C124" s="12">
        <v>0</v>
      </c>
      <c r="D124" s="12">
        <v>0</v>
      </c>
    </row>
    <row r="125" spans="1:4" x14ac:dyDescent="0.25">
      <c r="A125" s="6" t="s">
        <v>199</v>
      </c>
      <c r="B125" s="11">
        <v>46113.000003425928</v>
      </c>
      <c r="C125" s="12">
        <v>0</v>
      </c>
      <c r="D125" s="12">
        <v>0</v>
      </c>
    </row>
    <row r="126" spans="1:4" x14ac:dyDescent="0.25">
      <c r="A126" s="6" t="s">
        <v>199</v>
      </c>
      <c r="B126" s="11">
        <v>46143.000003425928</v>
      </c>
      <c r="C126" s="12">
        <v>0</v>
      </c>
      <c r="D126" s="12">
        <v>0</v>
      </c>
    </row>
    <row r="127" spans="1:4" x14ac:dyDescent="0.25">
      <c r="A127" s="6" t="s">
        <v>199</v>
      </c>
      <c r="B127" s="11">
        <v>46174.000003425928</v>
      </c>
      <c r="C127" s="12">
        <v>0</v>
      </c>
      <c r="D127" s="12">
        <v>0</v>
      </c>
    </row>
    <row r="128" spans="1:4" x14ac:dyDescent="0.25">
      <c r="A128" s="6" t="s">
        <v>199</v>
      </c>
      <c r="B128" s="11">
        <v>46204.000003425928</v>
      </c>
      <c r="C128" s="12">
        <v>0</v>
      </c>
      <c r="D128" s="12">
        <v>0</v>
      </c>
    </row>
    <row r="129" spans="1:4" x14ac:dyDescent="0.25">
      <c r="A129" s="6" t="s">
        <v>199</v>
      </c>
      <c r="B129" s="11">
        <v>46235.000003425928</v>
      </c>
      <c r="C129" s="12">
        <v>17</v>
      </c>
      <c r="D129" s="12">
        <v>13</v>
      </c>
    </row>
    <row r="130" spans="1:4" x14ac:dyDescent="0.25">
      <c r="A130" s="6" t="s">
        <v>199</v>
      </c>
      <c r="B130" s="11">
        <v>46266.000003425928</v>
      </c>
      <c r="C130" s="12">
        <v>50</v>
      </c>
      <c r="D130" s="12"/>
    </row>
    <row r="131" spans="1:4" x14ac:dyDescent="0.25">
      <c r="A131" s="6" t="s">
        <v>199</v>
      </c>
      <c r="B131" s="11">
        <v>46296.000003425928</v>
      </c>
      <c r="C131" s="12">
        <v>91</v>
      </c>
      <c r="D131" s="12"/>
    </row>
    <row r="132" spans="1:4" x14ac:dyDescent="0.25">
      <c r="A132" s="6" t="s">
        <v>199</v>
      </c>
      <c r="B132" s="11">
        <v>46327.000003425928</v>
      </c>
      <c r="C132" s="12">
        <v>100</v>
      </c>
      <c r="D132" s="12"/>
    </row>
    <row r="133" spans="1:4" x14ac:dyDescent="0.25">
      <c r="A133" s="6" t="s">
        <v>199</v>
      </c>
      <c r="B133" s="11">
        <v>46357.000003425928</v>
      </c>
      <c r="C133" s="12">
        <v>100</v>
      </c>
      <c r="D133" s="12"/>
    </row>
    <row r="134" spans="1:4" x14ac:dyDescent="0.25">
      <c r="A134" s="6" t="s">
        <v>203</v>
      </c>
      <c r="B134" s="11">
        <v>46023.000003402776</v>
      </c>
      <c r="C134" s="12">
        <v>0</v>
      </c>
      <c r="D134" s="12">
        <v>0</v>
      </c>
    </row>
    <row r="135" spans="1:4" x14ac:dyDescent="0.25">
      <c r="A135" s="6" t="s">
        <v>203</v>
      </c>
      <c r="B135" s="11">
        <v>46054.000003402776</v>
      </c>
      <c r="C135" s="12">
        <v>0</v>
      </c>
      <c r="D135" s="12">
        <v>0</v>
      </c>
    </row>
    <row r="136" spans="1:4" x14ac:dyDescent="0.25">
      <c r="A136" s="6" t="s">
        <v>203</v>
      </c>
      <c r="B136" s="11">
        <v>46082.000003402776</v>
      </c>
      <c r="C136" s="12">
        <v>0</v>
      </c>
      <c r="D136" s="12">
        <v>0</v>
      </c>
    </row>
    <row r="137" spans="1:4" x14ac:dyDescent="0.25">
      <c r="A137" s="6" t="s">
        <v>203</v>
      </c>
      <c r="B137" s="11">
        <v>46113.000003425928</v>
      </c>
      <c r="C137" s="12">
        <v>1</v>
      </c>
      <c r="D137" s="12">
        <v>1</v>
      </c>
    </row>
    <row r="138" spans="1:4" x14ac:dyDescent="0.25">
      <c r="A138" s="6" t="s">
        <v>203</v>
      </c>
      <c r="B138" s="11">
        <v>46143.000003425928</v>
      </c>
      <c r="C138" s="12">
        <v>6</v>
      </c>
      <c r="D138" s="12">
        <v>5</v>
      </c>
    </row>
    <row r="139" spans="1:4" x14ac:dyDescent="0.25">
      <c r="A139" s="6" t="s">
        <v>203</v>
      </c>
      <c r="B139" s="11">
        <v>46174.000003425928</v>
      </c>
      <c r="C139" s="12">
        <v>14</v>
      </c>
      <c r="D139" s="12">
        <v>12</v>
      </c>
    </row>
    <row r="140" spans="1:4" x14ac:dyDescent="0.25">
      <c r="A140" s="6" t="s">
        <v>203</v>
      </c>
      <c r="B140" s="11">
        <v>46204.000003425928</v>
      </c>
      <c r="C140" s="12">
        <v>23</v>
      </c>
      <c r="D140" s="12">
        <v>21</v>
      </c>
    </row>
    <row r="141" spans="1:4" x14ac:dyDescent="0.25">
      <c r="A141" s="6" t="s">
        <v>203</v>
      </c>
      <c r="B141" s="11">
        <v>46235.000003425928</v>
      </c>
      <c r="C141" s="12">
        <v>33</v>
      </c>
      <c r="D141" s="12">
        <v>31</v>
      </c>
    </row>
    <row r="142" spans="1:4" x14ac:dyDescent="0.25">
      <c r="A142" s="6" t="s">
        <v>203</v>
      </c>
      <c r="B142" s="11">
        <v>46266.000003425928</v>
      </c>
      <c r="C142" s="12">
        <v>44</v>
      </c>
      <c r="D142" s="12"/>
    </row>
    <row r="143" spans="1:4" x14ac:dyDescent="0.25">
      <c r="A143" s="6" t="s">
        <v>203</v>
      </c>
      <c r="B143" s="11">
        <v>46296.000003425928</v>
      </c>
      <c r="C143" s="12">
        <v>52</v>
      </c>
      <c r="D143" s="12"/>
    </row>
    <row r="144" spans="1:4" x14ac:dyDescent="0.25">
      <c r="A144" s="6" t="s">
        <v>203</v>
      </c>
      <c r="B144" s="11">
        <v>46327.000003425928</v>
      </c>
      <c r="C144" s="12">
        <v>59</v>
      </c>
      <c r="D144" s="12"/>
    </row>
    <row r="145" spans="1:4" x14ac:dyDescent="0.25">
      <c r="A145" s="6" t="s">
        <v>203</v>
      </c>
      <c r="B145" s="11">
        <v>46357.000003425928</v>
      </c>
      <c r="C145" s="12">
        <v>62</v>
      </c>
      <c r="D145" s="12"/>
    </row>
    <row r="146" spans="1:4" x14ac:dyDescent="0.25">
      <c r="A146" s="6" t="s">
        <v>207</v>
      </c>
      <c r="B146" s="11">
        <v>46023.000003402776</v>
      </c>
      <c r="C146" s="12">
        <v>0</v>
      </c>
      <c r="D146" s="12">
        <v>0</v>
      </c>
    </row>
    <row r="147" spans="1:4" x14ac:dyDescent="0.25">
      <c r="A147" s="6" t="s">
        <v>207</v>
      </c>
      <c r="B147" s="11">
        <v>46054.000003402776</v>
      </c>
      <c r="C147" s="12">
        <v>0</v>
      </c>
      <c r="D147" s="12">
        <v>0</v>
      </c>
    </row>
    <row r="148" spans="1:4" x14ac:dyDescent="0.25">
      <c r="A148" s="6" t="s">
        <v>207</v>
      </c>
      <c r="B148" s="11">
        <v>46082.000003402776</v>
      </c>
      <c r="C148" s="12">
        <v>0</v>
      </c>
      <c r="D148" s="12">
        <v>0</v>
      </c>
    </row>
    <row r="149" spans="1:4" x14ac:dyDescent="0.25">
      <c r="A149" s="6" t="s">
        <v>207</v>
      </c>
      <c r="B149" s="11">
        <v>46113.000003425928</v>
      </c>
      <c r="C149" s="12">
        <v>5</v>
      </c>
      <c r="D149" s="12">
        <v>4</v>
      </c>
    </row>
    <row r="150" spans="1:4" x14ac:dyDescent="0.25">
      <c r="A150" s="6" t="s">
        <v>207</v>
      </c>
      <c r="B150" s="11">
        <v>46143.000003425928</v>
      </c>
      <c r="C150" s="12">
        <v>13</v>
      </c>
      <c r="D150" s="12">
        <v>12</v>
      </c>
    </row>
    <row r="151" spans="1:4" x14ac:dyDescent="0.25">
      <c r="A151" s="6" t="s">
        <v>207</v>
      </c>
      <c r="B151" s="11">
        <v>46174.000003425928</v>
      </c>
      <c r="C151" s="12">
        <v>25</v>
      </c>
      <c r="D151" s="12">
        <v>22</v>
      </c>
    </row>
    <row r="152" spans="1:4" x14ac:dyDescent="0.25">
      <c r="A152" s="6" t="s">
        <v>207</v>
      </c>
      <c r="B152" s="11">
        <v>46204.000003425928</v>
      </c>
      <c r="C152" s="12">
        <v>38</v>
      </c>
      <c r="D152" s="12">
        <v>33</v>
      </c>
    </row>
    <row r="153" spans="1:4" x14ac:dyDescent="0.25">
      <c r="A153" s="6" t="s">
        <v>207</v>
      </c>
      <c r="B153" s="11">
        <v>46235.000003425928</v>
      </c>
      <c r="C153" s="12">
        <v>52</v>
      </c>
      <c r="D153" s="12">
        <v>46</v>
      </c>
    </row>
    <row r="154" spans="1:4" x14ac:dyDescent="0.25">
      <c r="A154" s="6" t="s">
        <v>207</v>
      </c>
      <c r="B154" s="11">
        <v>46266.000003425928</v>
      </c>
      <c r="C154" s="12">
        <v>65</v>
      </c>
      <c r="D154" s="12"/>
    </row>
    <row r="155" spans="1:4" x14ac:dyDescent="0.25">
      <c r="A155" s="6" t="s">
        <v>207</v>
      </c>
      <c r="B155" s="11">
        <v>46296.000003425928</v>
      </c>
      <c r="C155" s="12">
        <v>74</v>
      </c>
      <c r="D155" s="12"/>
    </row>
    <row r="156" spans="1:4" x14ac:dyDescent="0.25">
      <c r="A156" s="6" t="s">
        <v>207</v>
      </c>
      <c r="B156" s="11">
        <v>46327.000003425928</v>
      </c>
      <c r="C156" s="12">
        <v>80</v>
      </c>
      <c r="D156" s="12"/>
    </row>
    <row r="157" spans="1:4" x14ac:dyDescent="0.25">
      <c r="A157" s="6" t="s">
        <v>207</v>
      </c>
      <c r="B157" s="11">
        <v>46357.000003425928</v>
      </c>
      <c r="C157" s="12">
        <v>82</v>
      </c>
      <c r="D157" s="12"/>
    </row>
    <row r="158" spans="1:4" x14ac:dyDescent="0.25">
      <c r="A158" s="6" t="s">
        <v>211</v>
      </c>
      <c r="B158" s="11">
        <v>46023.000003402776</v>
      </c>
      <c r="C158" s="12">
        <v>6</v>
      </c>
      <c r="D158" s="12">
        <v>5</v>
      </c>
    </row>
    <row r="159" spans="1:4" x14ac:dyDescent="0.25">
      <c r="A159" s="6" t="s">
        <v>211</v>
      </c>
      <c r="B159" s="11">
        <v>46054.000003402776</v>
      </c>
      <c r="C159" s="12">
        <v>12</v>
      </c>
      <c r="D159" s="12">
        <v>10</v>
      </c>
    </row>
    <row r="160" spans="1:4" x14ac:dyDescent="0.25">
      <c r="A160" s="6" t="s">
        <v>211</v>
      </c>
      <c r="B160" s="11">
        <v>46082.000003402776</v>
      </c>
      <c r="C160" s="12">
        <v>18</v>
      </c>
      <c r="D160" s="12">
        <v>16</v>
      </c>
    </row>
    <row r="161" spans="1:4" x14ac:dyDescent="0.25">
      <c r="A161" s="6" t="s">
        <v>211</v>
      </c>
      <c r="B161" s="11">
        <v>46113.000003425928</v>
      </c>
      <c r="C161" s="12">
        <v>27</v>
      </c>
      <c r="D161" s="12">
        <v>24</v>
      </c>
    </row>
    <row r="162" spans="1:4" x14ac:dyDescent="0.25">
      <c r="A162" s="6" t="s">
        <v>211</v>
      </c>
      <c r="B162" s="11">
        <v>46143.000003425928</v>
      </c>
      <c r="C162" s="12">
        <v>35</v>
      </c>
      <c r="D162" s="12">
        <v>32</v>
      </c>
    </row>
    <row r="163" spans="1:4" x14ac:dyDescent="0.25">
      <c r="A163" s="6" t="s">
        <v>211</v>
      </c>
      <c r="B163" s="11">
        <v>46174.000003425928</v>
      </c>
      <c r="C163" s="12">
        <v>44</v>
      </c>
      <c r="D163" s="12">
        <v>40</v>
      </c>
    </row>
    <row r="164" spans="1:4" x14ac:dyDescent="0.25">
      <c r="A164" s="6" t="s">
        <v>211</v>
      </c>
      <c r="B164" s="11">
        <v>46204.000003425928</v>
      </c>
      <c r="C164" s="12">
        <v>52</v>
      </c>
      <c r="D164" s="12">
        <v>47</v>
      </c>
    </row>
    <row r="165" spans="1:4" x14ac:dyDescent="0.25">
      <c r="A165" s="6" t="s">
        <v>211</v>
      </c>
      <c r="B165" s="11">
        <v>46235.000003425928</v>
      </c>
      <c r="C165" s="12">
        <v>59</v>
      </c>
      <c r="D165" s="12">
        <v>54</v>
      </c>
    </row>
    <row r="166" spans="1:4" x14ac:dyDescent="0.25">
      <c r="A166" s="6" t="s">
        <v>211</v>
      </c>
      <c r="B166" s="11">
        <v>46266.000003425928</v>
      </c>
      <c r="C166" s="12">
        <v>65</v>
      </c>
      <c r="D166" s="12"/>
    </row>
    <row r="167" spans="1:4" x14ac:dyDescent="0.25">
      <c r="A167" s="6" t="s">
        <v>211</v>
      </c>
      <c r="B167" s="11">
        <v>46296.000003425928</v>
      </c>
      <c r="C167" s="12">
        <v>69</v>
      </c>
      <c r="D167" s="12"/>
    </row>
    <row r="168" spans="1:4" x14ac:dyDescent="0.25">
      <c r="A168" s="6" t="s">
        <v>211</v>
      </c>
      <c r="B168" s="11">
        <v>46327.000003425928</v>
      </c>
      <c r="C168" s="12">
        <v>70</v>
      </c>
      <c r="D168" s="12"/>
    </row>
    <row r="169" spans="1:4" x14ac:dyDescent="0.25">
      <c r="A169" s="6" t="s">
        <v>211</v>
      </c>
      <c r="B169" s="11">
        <v>46357.000003425928</v>
      </c>
      <c r="C169" s="12">
        <v>70</v>
      </c>
      <c r="D169" s="12"/>
    </row>
    <row r="170" spans="1:4" x14ac:dyDescent="0.25">
      <c r="A170" s="6" t="s">
        <v>214</v>
      </c>
      <c r="B170" s="11">
        <v>46023.000003402776</v>
      </c>
      <c r="C170" s="12">
        <v>4</v>
      </c>
      <c r="D170" s="12">
        <v>3</v>
      </c>
    </row>
    <row r="171" spans="1:4" x14ac:dyDescent="0.25">
      <c r="A171" s="6" t="s">
        <v>214</v>
      </c>
      <c r="B171" s="11">
        <v>46054.000003402776</v>
      </c>
      <c r="C171" s="12">
        <v>9</v>
      </c>
      <c r="D171" s="12">
        <v>7</v>
      </c>
    </row>
    <row r="172" spans="1:4" x14ac:dyDescent="0.25">
      <c r="A172" s="6" t="s">
        <v>214</v>
      </c>
      <c r="B172" s="11">
        <v>46082.000003402776</v>
      </c>
      <c r="C172" s="12">
        <v>14</v>
      </c>
      <c r="D172" s="12">
        <v>12</v>
      </c>
    </row>
    <row r="173" spans="1:4" x14ac:dyDescent="0.25">
      <c r="A173" s="6" t="s">
        <v>214</v>
      </c>
      <c r="B173" s="11">
        <v>46113.000003425928</v>
      </c>
      <c r="C173" s="12">
        <v>21</v>
      </c>
      <c r="D173" s="12">
        <v>18</v>
      </c>
    </row>
    <row r="174" spans="1:4" x14ac:dyDescent="0.25">
      <c r="A174" s="6" t="s">
        <v>214</v>
      </c>
      <c r="B174" s="11">
        <v>46143.000003425928</v>
      </c>
      <c r="C174" s="12">
        <v>29</v>
      </c>
      <c r="D174" s="12">
        <v>24</v>
      </c>
    </row>
    <row r="175" spans="1:4" x14ac:dyDescent="0.25">
      <c r="A175" s="6" t="s">
        <v>214</v>
      </c>
      <c r="B175" s="11">
        <v>46174.000003425928</v>
      </c>
      <c r="C175" s="12">
        <v>37</v>
      </c>
      <c r="D175" s="12">
        <v>31</v>
      </c>
    </row>
    <row r="176" spans="1:4" x14ac:dyDescent="0.25">
      <c r="A176" s="6" t="s">
        <v>214</v>
      </c>
      <c r="B176" s="11">
        <v>46204.000003425928</v>
      </c>
      <c r="C176" s="12">
        <v>45</v>
      </c>
      <c r="D176" s="12">
        <v>38</v>
      </c>
    </row>
    <row r="177" spans="1:4" x14ac:dyDescent="0.25">
      <c r="A177" s="6" t="s">
        <v>214</v>
      </c>
      <c r="B177" s="11">
        <v>46235.000003425928</v>
      </c>
      <c r="C177" s="12">
        <v>52</v>
      </c>
      <c r="D177" s="12">
        <v>44</v>
      </c>
    </row>
    <row r="178" spans="1:4" x14ac:dyDescent="0.25">
      <c r="A178" s="6" t="s">
        <v>214</v>
      </c>
      <c r="B178" s="11">
        <v>46266.000003425928</v>
      </c>
      <c r="C178" s="12">
        <v>58</v>
      </c>
      <c r="D178" s="12"/>
    </row>
    <row r="179" spans="1:4" x14ac:dyDescent="0.25">
      <c r="A179" s="6" t="s">
        <v>214</v>
      </c>
      <c r="B179" s="11">
        <v>46296.000003425928</v>
      </c>
      <c r="C179" s="12">
        <v>63</v>
      </c>
      <c r="D179" s="12"/>
    </row>
    <row r="180" spans="1:4" x14ac:dyDescent="0.25">
      <c r="A180" s="6" t="s">
        <v>214</v>
      </c>
      <c r="B180" s="11">
        <v>46327.000003425928</v>
      </c>
      <c r="C180" s="12">
        <v>67</v>
      </c>
      <c r="D180" s="12"/>
    </row>
    <row r="181" spans="1:4" x14ac:dyDescent="0.25">
      <c r="A181" s="6" t="s">
        <v>214</v>
      </c>
      <c r="B181" s="11">
        <v>46357.000003425928</v>
      </c>
      <c r="C181" s="12">
        <v>68</v>
      </c>
      <c r="D181" s="12"/>
    </row>
    <row r="182" spans="1:4" x14ac:dyDescent="0.25">
      <c r="A182" s="6" t="s">
        <v>217</v>
      </c>
      <c r="B182" s="11">
        <v>46023.000003402776</v>
      </c>
      <c r="C182" s="12">
        <v>0</v>
      </c>
      <c r="D182" s="12">
        <v>0</v>
      </c>
    </row>
    <row r="183" spans="1:4" x14ac:dyDescent="0.25">
      <c r="A183" s="6" t="s">
        <v>217</v>
      </c>
      <c r="B183" s="11">
        <v>46054.000003402776</v>
      </c>
      <c r="C183" s="12">
        <v>1</v>
      </c>
      <c r="D183" s="12">
        <v>0</v>
      </c>
    </row>
    <row r="184" spans="1:4" x14ac:dyDescent="0.25">
      <c r="A184" s="6" t="s">
        <v>217</v>
      </c>
      <c r="B184" s="11">
        <v>46082.000003402776</v>
      </c>
      <c r="C184" s="12">
        <v>3</v>
      </c>
      <c r="D184" s="12">
        <v>3</v>
      </c>
    </row>
    <row r="185" spans="1:4" x14ac:dyDescent="0.25">
      <c r="A185" s="6" t="s">
        <v>217</v>
      </c>
      <c r="B185" s="11">
        <v>46113.000003425928</v>
      </c>
      <c r="C185" s="12">
        <v>9</v>
      </c>
      <c r="D185" s="12">
        <v>8</v>
      </c>
    </row>
    <row r="186" spans="1:4" x14ac:dyDescent="0.25">
      <c r="A186" s="6" t="s">
        <v>217</v>
      </c>
      <c r="B186" s="11">
        <v>46143.000003425928</v>
      </c>
      <c r="C186" s="12">
        <v>16</v>
      </c>
      <c r="D186" s="12">
        <v>14</v>
      </c>
    </row>
    <row r="187" spans="1:4" x14ac:dyDescent="0.25">
      <c r="A187" s="6" t="s">
        <v>217</v>
      </c>
      <c r="B187" s="11">
        <v>46174.000003425928</v>
      </c>
      <c r="C187" s="12">
        <v>26</v>
      </c>
      <c r="D187" s="12">
        <v>22</v>
      </c>
    </row>
    <row r="188" spans="1:4" x14ac:dyDescent="0.25">
      <c r="A188" s="6" t="s">
        <v>217</v>
      </c>
      <c r="B188" s="11">
        <v>46204.000003425928</v>
      </c>
      <c r="C188" s="12">
        <v>35</v>
      </c>
      <c r="D188" s="12">
        <v>31</v>
      </c>
    </row>
    <row r="189" spans="1:4" x14ac:dyDescent="0.25">
      <c r="A189" s="6" t="s">
        <v>217</v>
      </c>
      <c r="B189" s="11">
        <v>46235.000003425928</v>
      </c>
      <c r="C189" s="12">
        <v>45</v>
      </c>
      <c r="D189" s="12">
        <v>40</v>
      </c>
    </row>
    <row r="190" spans="1:4" x14ac:dyDescent="0.25">
      <c r="A190" s="6" t="s">
        <v>217</v>
      </c>
      <c r="B190" s="11">
        <v>46266.000003425928</v>
      </c>
      <c r="C190" s="12">
        <v>55</v>
      </c>
      <c r="D190" s="12"/>
    </row>
    <row r="191" spans="1:4" x14ac:dyDescent="0.25">
      <c r="A191" s="6" t="s">
        <v>217</v>
      </c>
      <c r="B191" s="11">
        <v>46296.000003425928</v>
      </c>
      <c r="C191" s="12">
        <v>64</v>
      </c>
      <c r="D191" s="12"/>
    </row>
    <row r="192" spans="1:4" x14ac:dyDescent="0.25">
      <c r="A192" s="6" t="s">
        <v>217</v>
      </c>
      <c r="B192" s="11">
        <v>46327.000003425928</v>
      </c>
      <c r="C192" s="12">
        <v>72</v>
      </c>
      <c r="D192" s="12"/>
    </row>
    <row r="193" spans="1:4" x14ac:dyDescent="0.25">
      <c r="A193" s="6" t="s">
        <v>217</v>
      </c>
      <c r="B193" s="11">
        <v>46357.000003425928</v>
      </c>
      <c r="C193" s="12">
        <v>77</v>
      </c>
      <c r="D193" s="12"/>
    </row>
    <row r="194" spans="1:4" x14ac:dyDescent="0.25">
      <c r="A194" s="6" t="s">
        <v>220</v>
      </c>
      <c r="B194" s="11">
        <v>46023.000003402776</v>
      </c>
      <c r="C194" s="12">
        <v>14</v>
      </c>
      <c r="D194" s="12">
        <v>13</v>
      </c>
    </row>
    <row r="195" spans="1:4" x14ac:dyDescent="0.25">
      <c r="A195" s="6" t="s">
        <v>220</v>
      </c>
      <c r="B195" s="11">
        <v>46054.000003402776</v>
      </c>
      <c r="C195" s="12">
        <v>21</v>
      </c>
      <c r="D195" s="12">
        <v>19</v>
      </c>
    </row>
    <row r="196" spans="1:4" x14ac:dyDescent="0.25">
      <c r="A196" s="6" t="s">
        <v>220</v>
      </c>
      <c r="B196" s="11">
        <v>46082.000003402776</v>
      </c>
      <c r="C196" s="12">
        <v>27</v>
      </c>
      <c r="D196" s="12">
        <v>26</v>
      </c>
    </row>
    <row r="197" spans="1:4" x14ac:dyDescent="0.25">
      <c r="A197" s="6" t="s">
        <v>220</v>
      </c>
      <c r="B197" s="11">
        <v>46113.000003425928</v>
      </c>
      <c r="C197" s="12">
        <v>35</v>
      </c>
      <c r="D197" s="12">
        <v>33</v>
      </c>
    </row>
    <row r="198" spans="1:4" x14ac:dyDescent="0.25">
      <c r="A198" s="6" t="s">
        <v>220</v>
      </c>
      <c r="B198" s="11">
        <v>46143.000003425928</v>
      </c>
      <c r="C198" s="12">
        <v>43</v>
      </c>
      <c r="D198" s="12">
        <v>40</v>
      </c>
    </row>
    <row r="199" spans="1:4" x14ac:dyDescent="0.25">
      <c r="A199" s="6" t="s">
        <v>220</v>
      </c>
      <c r="B199" s="11">
        <v>46174.000003425928</v>
      </c>
      <c r="C199" s="12">
        <v>50</v>
      </c>
      <c r="D199" s="12">
        <v>47</v>
      </c>
    </row>
    <row r="200" spans="1:4" x14ac:dyDescent="0.25">
      <c r="A200" s="6" t="s">
        <v>220</v>
      </c>
      <c r="B200" s="11">
        <v>46204.000003425928</v>
      </c>
      <c r="C200" s="12">
        <v>56</v>
      </c>
      <c r="D200" s="12">
        <v>53</v>
      </c>
    </row>
    <row r="201" spans="1:4" x14ac:dyDescent="0.25">
      <c r="A201" s="6" t="s">
        <v>220</v>
      </c>
      <c r="B201" s="11">
        <v>46235.000003425928</v>
      </c>
      <c r="C201" s="12">
        <v>61</v>
      </c>
      <c r="D201" s="12">
        <v>58</v>
      </c>
    </row>
    <row r="202" spans="1:4" x14ac:dyDescent="0.25">
      <c r="A202" s="6" t="s">
        <v>220</v>
      </c>
      <c r="B202" s="11">
        <v>46266.000003425928</v>
      </c>
      <c r="C202" s="12">
        <v>65</v>
      </c>
      <c r="D202" s="12"/>
    </row>
    <row r="203" spans="1:4" x14ac:dyDescent="0.25">
      <c r="A203" s="6" t="s">
        <v>220</v>
      </c>
      <c r="B203" s="11">
        <v>46296.000003425928</v>
      </c>
      <c r="C203" s="12">
        <v>66</v>
      </c>
      <c r="D203" s="12"/>
    </row>
    <row r="204" spans="1:4" x14ac:dyDescent="0.25">
      <c r="A204" s="6" t="s">
        <v>220</v>
      </c>
      <c r="B204" s="11">
        <v>46327.000003425928</v>
      </c>
      <c r="C204" s="12">
        <v>66</v>
      </c>
      <c r="D204" s="12"/>
    </row>
    <row r="205" spans="1:4" x14ac:dyDescent="0.25">
      <c r="A205" s="6" t="s">
        <v>220</v>
      </c>
      <c r="B205" s="11">
        <v>46357.000003425928</v>
      </c>
      <c r="C205" s="12">
        <v>66</v>
      </c>
      <c r="D205" s="12"/>
    </row>
    <row r="206" spans="1:4" x14ac:dyDescent="0.25">
      <c r="A206" s="6" t="s">
        <v>224</v>
      </c>
      <c r="B206" s="11">
        <v>46023.000003402776</v>
      </c>
      <c r="C206" s="12">
        <v>0</v>
      </c>
      <c r="D206" s="12">
        <v>0</v>
      </c>
    </row>
    <row r="207" spans="1:4" x14ac:dyDescent="0.25">
      <c r="A207" s="6" t="s">
        <v>224</v>
      </c>
      <c r="B207" s="11">
        <v>46054.000003402776</v>
      </c>
      <c r="C207" s="12">
        <v>0</v>
      </c>
      <c r="D207" s="12">
        <v>0</v>
      </c>
    </row>
    <row r="208" spans="1:4" x14ac:dyDescent="0.25">
      <c r="A208" s="6" t="s">
        <v>224</v>
      </c>
      <c r="B208" s="11">
        <v>46082.000003402776</v>
      </c>
      <c r="C208" s="12">
        <v>1</v>
      </c>
      <c r="D208" s="12">
        <v>0</v>
      </c>
    </row>
    <row r="209" spans="1:4" x14ac:dyDescent="0.25">
      <c r="A209" s="6" t="s">
        <v>224</v>
      </c>
      <c r="B209" s="11">
        <v>46113.000003425928</v>
      </c>
      <c r="C209" s="12">
        <v>4</v>
      </c>
      <c r="D209" s="12">
        <v>4</v>
      </c>
    </row>
    <row r="210" spans="1:4" x14ac:dyDescent="0.25">
      <c r="A210" s="6" t="s">
        <v>224</v>
      </c>
      <c r="B210" s="11">
        <v>46143.000003425928</v>
      </c>
      <c r="C210" s="12">
        <v>11</v>
      </c>
      <c r="D210" s="12">
        <v>9</v>
      </c>
    </row>
    <row r="211" spans="1:4" x14ac:dyDescent="0.25">
      <c r="A211" s="6" t="s">
        <v>224</v>
      </c>
      <c r="B211" s="11">
        <v>46174.000003425928</v>
      </c>
      <c r="C211" s="12">
        <v>19</v>
      </c>
      <c r="D211" s="12">
        <v>17</v>
      </c>
    </row>
    <row r="212" spans="1:4" x14ac:dyDescent="0.25">
      <c r="A212" s="6" t="s">
        <v>224</v>
      </c>
      <c r="B212" s="11">
        <v>46204.000003425928</v>
      </c>
      <c r="C212" s="12">
        <v>30</v>
      </c>
      <c r="D212" s="12">
        <v>26</v>
      </c>
    </row>
    <row r="213" spans="1:4" x14ac:dyDescent="0.25">
      <c r="A213" s="6" t="s">
        <v>224</v>
      </c>
      <c r="B213" s="11">
        <v>46235.000003425928</v>
      </c>
      <c r="C213" s="12">
        <v>41</v>
      </c>
      <c r="D213" s="12">
        <v>35</v>
      </c>
    </row>
    <row r="214" spans="1:4" x14ac:dyDescent="0.25">
      <c r="A214" s="6" t="s">
        <v>224</v>
      </c>
      <c r="B214" s="11">
        <v>46266.000003425928</v>
      </c>
      <c r="C214" s="12">
        <v>52</v>
      </c>
      <c r="D214" s="12"/>
    </row>
    <row r="215" spans="1:4" x14ac:dyDescent="0.25">
      <c r="A215" s="6" t="s">
        <v>224</v>
      </c>
      <c r="B215" s="11">
        <v>46296.000003425928</v>
      </c>
      <c r="C215" s="12">
        <v>63</v>
      </c>
      <c r="D215" s="12"/>
    </row>
    <row r="216" spans="1:4" x14ac:dyDescent="0.25">
      <c r="A216" s="6" t="s">
        <v>224</v>
      </c>
      <c r="B216" s="11">
        <v>46327.000003425928</v>
      </c>
      <c r="C216" s="12">
        <v>73</v>
      </c>
      <c r="D216" s="12"/>
    </row>
    <row r="217" spans="1:4" x14ac:dyDescent="0.25">
      <c r="A217" s="6" t="s">
        <v>224</v>
      </c>
      <c r="B217" s="11">
        <v>46357.000003425928</v>
      </c>
      <c r="C217" s="12">
        <v>81</v>
      </c>
      <c r="D217" s="12"/>
    </row>
    <row r="218" spans="1:4" x14ac:dyDescent="0.25">
      <c r="A218" s="6" t="s">
        <v>228</v>
      </c>
      <c r="B218" s="11">
        <v>46023.000003402776</v>
      </c>
      <c r="C218" s="12">
        <v>0</v>
      </c>
      <c r="D218" s="12">
        <v>0</v>
      </c>
    </row>
    <row r="219" spans="1:4" x14ac:dyDescent="0.25">
      <c r="A219" s="6" t="s">
        <v>228</v>
      </c>
      <c r="B219" s="11">
        <v>46054.000003402776</v>
      </c>
      <c r="C219" s="12">
        <v>0</v>
      </c>
      <c r="D219" s="12">
        <v>0</v>
      </c>
    </row>
    <row r="220" spans="1:4" x14ac:dyDescent="0.25">
      <c r="A220" s="6" t="s">
        <v>228</v>
      </c>
      <c r="B220" s="11">
        <v>46082.000003402776</v>
      </c>
      <c r="C220" s="12">
        <v>1</v>
      </c>
      <c r="D220" s="12">
        <v>1</v>
      </c>
    </row>
    <row r="221" spans="1:4" x14ac:dyDescent="0.25">
      <c r="A221" s="6" t="s">
        <v>228</v>
      </c>
      <c r="B221" s="11">
        <v>46113.000003425928</v>
      </c>
      <c r="C221" s="12">
        <v>6</v>
      </c>
      <c r="D221" s="12">
        <v>5</v>
      </c>
    </row>
    <row r="222" spans="1:4" x14ac:dyDescent="0.25">
      <c r="A222" s="6" t="s">
        <v>228</v>
      </c>
      <c r="B222" s="11">
        <v>46143.000003425928</v>
      </c>
      <c r="C222" s="12">
        <v>13</v>
      </c>
      <c r="D222" s="12">
        <v>12</v>
      </c>
    </row>
    <row r="223" spans="1:4" x14ac:dyDescent="0.25">
      <c r="A223" s="6" t="s">
        <v>228</v>
      </c>
      <c r="B223" s="11">
        <v>46174.000003425928</v>
      </c>
      <c r="C223" s="12">
        <v>22</v>
      </c>
      <c r="D223" s="12">
        <v>20</v>
      </c>
    </row>
    <row r="224" spans="1:4" x14ac:dyDescent="0.25">
      <c r="A224" s="6" t="s">
        <v>228</v>
      </c>
      <c r="B224" s="11">
        <v>46204.000003425928</v>
      </c>
      <c r="C224" s="12">
        <v>33</v>
      </c>
      <c r="D224" s="12">
        <v>30</v>
      </c>
    </row>
    <row r="225" spans="1:4" x14ac:dyDescent="0.25">
      <c r="A225" s="6" t="s">
        <v>228</v>
      </c>
      <c r="B225" s="11">
        <v>46235.000003425928</v>
      </c>
      <c r="C225" s="12">
        <v>44</v>
      </c>
      <c r="D225" s="12">
        <v>40</v>
      </c>
    </row>
    <row r="226" spans="1:4" x14ac:dyDescent="0.25">
      <c r="A226" s="6" t="s">
        <v>228</v>
      </c>
      <c r="B226" s="11">
        <v>46266.000003425928</v>
      </c>
      <c r="C226" s="12">
        <v>55</v>
      </c>
      <c r="D226" s="12"/>
    </row>
    <row r="227" spans="1:4" x14ac:dyDescent="0.25">
      <c r="A227" s="6" t="s">
        <v>228</v>
      </c>
      <c r="B227" s="11">
        <v>46296.000003425928</v>
      </c>
      <c r="C227" s="12">
        <v>65</v>
      </c>
      <c r="D227" s="12"/>
    </row>
    <row r="228" spans="1:4" x14ac:dyDescent="0.25">
      <c r="A228" s="6" t="s">
        <v>228</v>
      </c>
      <c r="B228" s="11">
        <v>46327.000003425928</v>
      </c>
      <c r="C228" s="12">
        <v>73</v>
      </c>
      <c r="D228" s="12"/>
    </row>
    <row r="229" spans="1:4" x14ac:dyDescent="0.25">
      <c r="A229" s="6" t="s">
        <v>228</v>
      </c>
      <c r="B229" s="11">
        <v>46357.000003425928</v>
      </c>
      <c r="C229" s="12">
        <v>78</v>
      </c>
      <c r="D229" s="12"/>
    </row>
    <row r="230" spans="1:4" x14ac:dyDescent="0.25">
      <c r="A230" s="6" t="s">
        <v>231</v>
      </c>
      <c r="B230" s="11">
        <v>46023.000003402776</v>
      </c>
      <c r="C230" s="12">
        <v>39</v>
      </c>
      <c r="D230" s="12">
        <v>36</v>
      </c>
    </row>
    <row r="231" spans="1:4" x14ac:dyDescent="0.25">
      <c r="A231" s="6" t="s">
        <v>231</v>
      </c>
      <c r="B231" s="11">
        <v>46054.000003402776</v>
      </c>
      <c r="C231" s="12">
        <v>46</v>
      </c>
      <c r="D231" s="12">
        <v>43</v>
      </c>
    </row>
    <row r="232" spans="1:4" x14ac:dyDescent="0.25">
      <c r="A232" s="6" t="s">
        <v>231</v>
      </c>
      <c r="B232" s="11">
        <v>46082.000003402776</v>
      </c>
      <c r="C232" s="12">
        <v>53</v>
      </c>
      <c r="D232" s="12">
        <v>49</v>
      </c>
    </row>
    <row r="233" spans="1:4" x14ac:dyDescent="0.25">
      <c r="A233" s="6" t="s">
        <v>231</v>
      </c>
      <c r="B233" s="11">
        <v>46113.000003425928</v>
      </c>
      <c r="C233" s="12">
        <v>59</v>
      </c>
      <c r="D233" s="12">
        <v>56</v>
      </c>
    </row>
    <row r="234" spans="1:4" x14ac:dyDescent="0.25">
      <c r="A234" s="6" t="s">
        <v>231</v>
      </c>
      <c r="B234" s="11">
        <v>46143.000003425928</v>
      </c>
      <c r="C234" s="12">
        <v>65</v>
      </c>
      <c r="D234" s="12">
        <v>62</v>
      </c>
    </row>
    <row r="235" spans="1:4" x14ac:dyDescent="0.25">
      <c r="A235" s="6" t="s">
        <v>231</v>
      </c>
      <c r="B235" s="11">
        <v>46174.000003425928</v>
      </c>
      <c r="C235" s="12">
        <v>71</v>
      </c>
      <c r="D235" s="12">
        <v>67</v>
      </c>
    </row>
    <row r="236" spans="1:4" x14ac:dyDescent="0.25">
      <c r="A236" s="6" t="s">
        <v>231</v>
      </c>
      <c r="B236" s="11">
        <v>46204.000003425928</v>
      </c>
      <c r="C236" s="12">
        <v>75</v>
      </c>
      <c r="D236" s="12">
        <v>71</v>
      </c>
    </row>
    <row r="237" spans="1:4" x14ac:dyDescent="0.25">
      <c r="A237" s="6" t="s">
        <v>231</v>
      </c>
      <c r="B237" s="11">
        <v>46235.000003425928</v>
      </c>
      <c r="C237" s="12">
        <v>79</v>
      </c>
      <c r="D237" s="12">
        <v>75</v>
      </c>
    </row>
    <row r="238" spans="1:4" x14ac:dyDescent="0.25">
      <c r="A238" s="6" t="s">
        <v>231</v>
      </c>
      <c r="B238" s="11">
        <v>46266.000003425928</v>
      </c>
      <c r="C238" s="12">
        <v>81</v>
      </c>
      <c r="D238" s="12"/>
    </row>
    <row r="239" spans="1:4" x14ac:dyDescent="0.25">
      <c r="A239" s="6" t="s">
        <v>231</v>
      </c>
      <c r="B239" s="11">
        <v>46296.000003425928</v>
      </c>
      <c r="C239" s="12">
        <v>81</v>
      </c>
      <c r="D239" s="12"/>
    </row>
    <row r="240" spans="1:4" x14ac:dyDescent="0.25">
      <c r="A240" s="6" t="s">
        <v>231</v>
      </c>
      <c r="B240" s="11">
        <v>46327.000003425928</v>
      </c>
      <c r="C240" s="12">
        <v>81</v>
      </c>
      <c r="D240" s="12"/>
    </row>
    <row r="241" spans="1:4" x14ac:dyDescent="0.25">
      <c r="A241" s="6" t="s">
        <v>231</v>
      </c>
      <c r="B241" s="11">
        <v>46357.000003425928</v>
      </c>
      <c r="C241" s="12">
        <v>81</v>
      </c>
      <c r="D241" s="12"/>
    </row>
    <row r="242" spans="1:4" x14ac:dyDescent="0.25">
      <c r="A242" s="6" t="s">
        <v>235</v>
      </c>
      <c r="B242" s="11">
        <v>46023.000003402776</v>
      </c>
      <c r="C242" s="12">
        <v>54</v>
      </c>
      <c r="D242" s="12">
        <v>56</v>
      </c>
    </row>
    <row r="243" spans="1:4" x14ac:dyDescent="0.25">
      <c r="A243" s="6" t="s">
        <v>235</v>
      </c>
      <c r="B243" s="11">
        <v>46054.000003402776</v>
      </c>
      <c r="C243" s="12">
        <v>60</v>
      </c>
      <c r="D243" s="12">
        <v>63</v>
      </c>
    </row>
    <row r="244" spans="1:4" x14ac:dyDescent="0.25">
      <c r="A244" s="6" t="s">
        <v>235</v>
      </c>
      <c r="B244" s="11">
        <v>46082.000003402776</v>
      </c>
      <c r="C244" s="12">
        <v>66</v>
      </c>
      <c r="D244" s="12">
        <v>69</v>
      </c>
    </row>
    <row r="245" spans="1:4" x14ac:dyDescent="0.25">
      <c r="A245" s="6" t="s">
        <v>235</v>
      </c>
      <c r="B245" s="11">
        <v>46113.000003425928</v>
      </c>
      <c r="C245" s="12">
        <v>72</v>
      </c>
      <c r="D245" s="12">
        <v>75</v>
      </c>
    </row>
    <row r="246" spans="1:4" x14ac:dyDescent="0.25">
      <c r="A246" s="6" t="s">
        <v>235</v>
      </c>
      <c r="B246" s="11">
        <v>46143.000003425928</v>
      </c>
      <c r="C246" s="12">
        <v>77</v>
      </c>
      <c r="D246" s="12">
        <v>80</v>
      </c>
    </row>
    <row r="247" spans="1:4" x14ac:dyDescent="0.25">
      <c r="A247" s="6" t="s">
        <v>235</v>
      </c>
      <c r="B247" s="11">
        <v>46174.000003425928</v>
      </c>
      <c r="C247" s="12">
        <v>82</v>
      </c>
      <c r="D247" s="12">
        <v>85</v>
      </c>
    </row>
    <row r="248" spans="1:4" x14ac:dyDescent="0.25">
      <c r="A248" s="6" t="s">
        <v>235</v>
      </c>
      <c r="B248" s="11">
        <v>46204.000003425928</v>
      </c>
      <c r="C248" s="12">
        <v>85</v>
      </c>
      <c r="D248" s="12">
        <v>88</v>
      </c>
    </row>
    <row r="249" spans="1:4" x14ac:dyDescent="0.25">
      <c r="A249" s="6" t="s">
        <v>235</v>
      </c>
      <c r="B249" s="11">
        <v>46235.000003425928</v>
      </c>
      <c r="C249" s="12">
        <v>87</v>
      </c>
      <c r="D249" s="12">
        <v>90</v>
      </c>
    </row>
    <row r="250" spans="1:4" x14ac:dyDescent="0.25">
      <c r="A250" s="6" t="s">
        <v>235</v>
      </c>
      <c r="B250" s="11">
        <v>46266.000003425928</v>
      </c>
      <c r="C250" s="12">
        <v>88</v>
      </c>
      <c r="D250" s="12"/>
    </row>
    <row r="251" spans="1:4" x14ac:dyDescent="0.25">
      <c r="A251" s="6" t="s">
        <v>235</v>
      </c>
      <c r="B251" s="11">
        <v>46296.000003425928</v>
      </c>
      <c r="C251" s="12">
        <v>88</v>
      </c>
      <c r="D251" s="12"/>
    </row>
    <row r="252" spans="1:4" x14ac:dyDescent="0.25">
      <c r="A252" s="6" t="s">
        <v>235</v>
      </c>
      <c r="B252" s="11">
        <v>46327.000003425928</v>
      </c>
      <c r="C252" s="12">
        <v>88</v>
      </c>
      <c r="D252" s="12"/>
    </row>
    <row r="253" spans="1:4" x14ac:dyDescent="0.25">
      <c r="A253" s="6" t="s">
        <v>235</v>
      </c>
      <c r="B253" s="11">
        <v>46357.000003425928</v>
      </c>
      <c r="C253" s="12">
        <v>88</v>
      </c>
      <c r="D253" s="12"/>
    </row>
    <row r="254" spans="1:4" x14ac:dyDescent="0.25">
      <c r="A254" s="6" t="s">
        <v>238</v>
      </c>
      <c r="B254" s="11">
        <v>46023.000003402776</v>
      </c>
      <c r="C254" s="12">
        <v>10</v>
      </c>
      <c r="D254" s="12">
        <v>10</v>
      </c>
    </row>
    <row r="255" spans="1:4" x14ac:dyDescent="0.25">
      <c r="A255" s="6" t="s">
        <v>238</v>
      </c>
      <c r="B255" s="11">
        <v>46054.000003402776</v>
      </c>
      <c r="C255" s="12">
        <v>17</v>
      </c>
      <c r="D255" s="12">
        <v>16</v>
      </c>
    </row>
    <row r="256" spans="1:4" x14ac:dyDescent="0.25">
      <c r="A256" s="6" t="s">
        <v>238</v>
      </c>
      <c r="B256" s="11">
        <v>46082.000003402776</v>
      </c>
      <c r="C256" s="12">
        <v>25</v>
      </c>
      <c r="D256" s="12">
        <v>22</v>
      </c>
    </row>
    <row r="257" spans="1:4" x14ac:dyDescent="0.25">
      <c r="A257" s="6" t="s">
        <v>238</v>
      </c>
      <c r="B257" s="11">
        <v>46113.000003425928</v>
      </c>
      <c r="C257" s="12">
        <v>33</v>
      </c>
      <c r="D257" s="12">
        <v>30</v>
      </c>
    </row>
    <row r="258" spans="1:4" x14ac:dyDescent="0.25">
      <c r="A258" s="6" t="s">
        <v>238</v>
      </c>
      <c r="B258" s="11">
        <v>46143.000003425928</v>
      </c>
      <c r="C258" s="12">
        <v>42</v>
      </c>
      <c r="D258" s="12">
        <v>38</v>
      </c>
    </row>
    <row r="259" spans="1:4" x14ac:dyDescent="0.25">
      <c r="A259" s="6" t="s">
        <v>238</v>
      </c>
      <c r="B259" s="11">
        <v>46174.000003425928</v>
      </c>
      <c r="C259" s="12">
        <v>51</v>
      </c>
      <c r="D259" s="12">
        <v>47</v>
      </c>
    </row>
    <row r="260" spans="1:4" x14ac:dyDescent="0.25">
      <c r="A260" s="6" t="s">
        <v>238</v>
      </c>
      <c r="B260" s="11">
        <v>46204.000003425928</v>
      </c>
      <c r="C260" s="12">
        <v>59</v>
      </c>
      <c r="D260" s="12">
        <v>55</v>
      </c>
    </row>
    <row r="261" spans="1:4" x14ac:dyDescent="0.25">
      <c r="A261" s="6" t="s">
        <v>238</v>
      </c>
      <c r="B261" s="11">
        <v>46235.000003425928</v>
      </c>
      <c r="C261" s="12">
        <v>67</v>
      </c>
      <c r="D261" s="12">
        <v>62</v>
      </c>
    </row>
    <row r="262" spans="1:4" x14ac:dyDescent="0.25">
      <c r="A262" s="6" t="s">
        <v>238</v>
      </c>
      <c r="B262" s="11">
        <v>46266.000003425928</v>
      </c>
      <c r="C262" s="12">
        <v>73</v>
      </c>
      <c r="D262" s="12"/>
    </row>
    <row r="263" spans="1:4" x14ac:dyDescent="0.25">
      <c r="A263" s="6" t="s">
        <v>238</v>
      </c>
      <c r="B263" s="11">
        <v>46296.000003425928</v>
      </c>
      <c r="C263" s="12">
        <v>78</v>
      </c>
      <c r="D263" s="12"/>
    </row>
    <row r="264" spans="1:4" x14ac:dyDescent="0.25">
      <c r="A264" s="6" t="s">
        <v>238</v>
      </c>
      <c r="B264" s="11">
        <v>46327.000003425928</v>
      </c>
      <c r="C264" s="12">
        <v>82</v>
      </c>
      <c r="D264" s="12"/>
    </row>
    <row r="265" spans="1:4" x14ac:dyDescent="0.25">
      <c r="A265" s="6" t="s">
        <v>238</v>
      </c>
      <c r="B265" s="11">
        <v>46357.000003425928</v>
      </c>
      <c r="C265" s="12">
        <v>83</v>
      </c>
      <c r="D265" s="12"/>
    </row>
    <row r="266" spans="1:4" x14ac:dyDescent="0.25">
      <c r="A266" s="6" t="s">
        <v>241</v>
      </c>
      <c r="B266" s="11">
        <v>46023.000003402776</v>
      </c>
      <c r="C266" s="12">
        <v>28</v>
      </c>
      <c r="D266" s="12">
        <v>26</v>
      </c>
    </row>
    <row r="267" spans="1:4" x14ac:dyDescent="0.25">
      <c r="A267" s="6" t="s">
        <v>241</v>
      </c>
      <c r="B267" s="11">
        <v>46054.000003402776</v>
      </c>
      <c r="C267" s="12">
        <v>36</v>
      </c>
      <c r="D267" s="12">
        <v>33</v>
      </c>
    </row>
    <row r="268" spans="1:4" x14ac:dyDescent="0.25">
      <c r="A268" s="6" t="s">
        <v>241</v>
      </c>
      <c r="B268" s="11">
        <v>46082.000003402776</v>
      </c>
      <c r="C268" s="12">
        <v>43</v>
      </c>
      <c r="D268" s="12">
        <v>39</v>
      </c>
    </row>
    <row r="269" spans="1:4" x14ac:dyDescent="0.25">
      <c r="A269" s="6" t="s">
        <v>241</v>
      </c>
      <c r="B269" s="11">
        <v>46113.000003425928</v>
      </c>
      <c r="C269" s="12">
        <v>50</v>
      </c>
      <c r="D269" s="12">
        <v>46</v>
      </c>
    </row>
    <row r="270" spans="1:4" x14ac:dyDescent="0.25">
      <c r="A270" s="6" t="s">
        <v>241</v>
      </c>
      <c r="B270" s="11">
        <v>46143.000003425928</v>
      </c>
      <c r="C270" s="12">
        <v>57</v>
      </c>
      <c r="D270" s="12">
        <v>53</v>
      </c>
    </row>
    <row r="271" spans="1:4" x14ac:dyDescent="0.25">
      <c r="A271" s="6" t="s">
        <v>241</v>
      </c>
      <c r="B271" s="11">
        <v>46174.000003425928</v>
      </c>
      <c r="C271" s="12">
        <v>64</v>
      </c>
      <c r="D271" s="12">
        <v>59</v>
      </c>
    </row>
    <row r="272" spans="1:4" x14ac:dyDescent="0.25">
      <c r="A272" s="6" t="s">
        <v>241</v>
      </c>
      <c r="B272" s="11">
        <v>46204.000003425928</v>
      </c>
      <c r="C272" s="12">
        <v>69</v>
      </c>
      <c r="D272" s="12">
        <v>64</v>
      </c>
    </row>
    <row r="273" spans="1:4" x14ac:dyDescent="0.25">
      <c r="A273" s="6" t="s">
        <v>241</v>
      </c>
      <c r="B273" s="11">
        <v>46235.000003425928</v>
      </c>
      <c r="C273" s="12">
        <v>74</v>
      </c>
      <c r="D273" s="12">
        <v>69</v>
      </c>
    </row>
    <row r="274" spans="1:4" x14ac:dyDescent="0.25">
      <c r="A274" s="6" t="s">
        <v>241</v>
      </c>
      <c r="B274" s="11">
        <v>46266.000003425928</v>
      </c>
      <c r="C274" s="12">
        <v>78</v>
      </c>
      <c r="D274" s="12"/>
    </row>
    <row r="275" spans="1:4" x14ac:dyDescent="0.25">
      <c r="A275" s="6" t="s">
        <v>241</v>
      </c>
      <c r="B275" s="11">
        <v>46296.000003425928</v>
      </c>
      <c r="C275" s="12">
        <v>80</v>
      </c>
      <c r="D275" s="12"/>
    </row>
    <row r="276" spans="1:4" x14ac:dyDescent="0.25">
      <c r="A276" s="6" t="s">
        <v>241</v>
      </c>
      <c r="B276" s="11">
        <v>46327.000003425928</v>
      </c>
      <c r="C276" s="12">
        <v>80</v>
      </c>
      <c r="D276" s="12"/>
    </row>
    <row r="277" spans="1:4" x14ac:dyDescent="0.25">
      <c r="A277" s="6" t="s">
        <v>241</v>
      </c>
      <c r="B277" s="11">
        <v>46357.000003425928</v>
      </c>
      <c r="C277" s="12">
        <v>80</v>
      </c>
      <c r="D277" s="12"/>
    </row>
    <row r="278" spans="1:4" x14ac:dyDescent="0.25">
      <c r="A278" s="6" t="s">
        <v>244</v>
      </c>
      <c r="B278" s="11">
        <v>46023.000003402776</v>
      </c>
      <c r="C278" s="12">
        <v>35</v>
      </c>
      <c r="D278" s="12">
        <v>33</v>
      </c>
    </row>
    <row r="279" spans="1:4" x14ac:dyDescent="0.25">
      <c r="A279" s="6" t="s">
        <v>244</v>
      </c>
      <c r="B279" s="11">
        <v>46054.000003402776</v>
      </c>
      <c r="C279" s="12">
        <v>43</v>
      </c>
      <c r="D279" s="12">
        <v>41</v>
      </c>
    </row>
    <row r="280" spans="1:4" x14ac:dyDescent="0.25">
      <c r="A280" s="6" t="s">
        <v>244</v>
      </c>
      <c r="B280" s="11">
        <v>46082.000003402776</v>
      </c>
      <c r="C280" s="12">
        <v>50</v>
      </c>
      <c r="D280" s="12">
        <v>48</v>
      </c>
    </row>
    <row r="281" spans="1:4" x14ac:dyDescent="0.25">
      <c r="A281" s="6" t="s">
        <v>244</v>
      </c>
      <c r="B281" s="11">
        <v>46113.000003425928</v>
      </c>
      <c r="C281" s="12">
        <v>58</v>
      </c>
      <c r="D281" s="12">
        <v>55</v>
      </c>
    </row>
    <row r="282" spans="1:4" x14ac:dyDescent="0.25">
      <c r="A282" s="6" t="s">
        <v>244</v>
      </c>
      <c r="B282" s="11">
        <v>46143.000003425928</v>
      </c>
      <c r="C282" s="12">
        <v>65</v>
      </c>
      <c r="D282" s="12">
        <v>62</v>
      </c>
    </row>
    <row r="283" spans="1:4" x14ac:dyDescent="0.25">
      <c r="A283" s="6" t="s">
        <v>244</v>
      </c>
      <c r="B283" s="11">
        <v>46174.000003425928</v>
      </c>
      <c r="C283" s="12">
        <v>71</v>
      </c>
      <c r="D283" s="12">
        <v>68</v>
      </c>
    </row>
    <row r="284" spans="1:4" x14ac:dyDescent="0.25">
      <c r="A284" s="6" t="s">
        <v>244</v>
      </c>
      <c r="B284" s="11">
        <v>46204.000003425928</v>
      </c>
      <c r="C284" s="12">
        <v>76</v>
      </c>
      <c r="D284" s="12">
        <v>73</v>
      </c>
    </row>
    <row r="285" spans="1:4" x14ac:dyDescent="0.25">
      <c r="A285" s="6" t="s">
        <v>244</v>
      </c>
      <c r="B285" s="11">
        <v>46235.000003425928</v>
      </c>
      <c r="C285" s="12">
        <v>81</v>
      </c>
      <c r="D285" s="12">
        <v>78</v>
      </c>
    </row>
    <row r="286" spans="1:4" x14ac:dyDescent="0.25">
      <c r="A286" s="6" t="s">
        <v>244</v>
      </c>
      <c r="B286" s="11">
        <v>46266.000003425928</v>
      </c>
      <c r="C286" s="12">
        <v>83</v>
      </c>
      <c r="D286" s="12"/>
    </row>
    <row r="287" spans="1:4" x14ac:dyDescent="0.25">
      <c r="A287" s="6" t="s">
        <v>244</v>
      </c>
      <c r="B287" s="11">
        <v>46296.000003425928</v>
      </c>
      <c r="C287" s="12">
        <v>84</v>
      </c>
      <c r="D287" s="12"/>
    </row>
    <row r="288" spans="1:4" x14ac:dyDescent="0.25">
      <c r="A288" s="6" t="s">
        <v>244</v>
      </c>
      <c r="B288" s="11">
        <v>46327.000003425928</v>
      </c>
      <c r="C288" s="12">
        <v>84</v>
      </c>
      <c r="D288" s="12"/>
    </row>
    <row r="289" spans="1:4" x14ac:dyDescent="0.25">
      <c r="A289" s="6" t="s">
        <v>244</v>
      </c>
      <c r="B289" s="11">
        <v>46357.000003425928</v>
      </c>
      <c r="C289" s="12">
        <v>84</v>
      </c>
      <c r="D289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README</vt:lpstr>
      <vt:lpstr>Config</vt:lpstr>
      <vt:lpstr>Lookups</vt:lpstr>
      <vt:lpstr>Projects</vt:lpstr>
      <vt:lpstr>People</vt:lpstr>
      <vt:lpstr>Allocations</vt:lpstr>
      <vt:lpstr>Deliverables</vt:lpstr>
      <vt:lpstr>Risks</vt:lpstr>
      <vt:lpstr>Issues</vt:lpstr>
      <vt:lpstr>Actions</vt:lpstr>
      <vt:lpstr>ChangeRequests</vt:lpstr>
      <vt:lpstr>Milestones</vt:lpstr>
      <vt:lpstr>Schedule_Activities</vt:lpstr>
      <vt:lpstr>SCurve_Monthly</vt:lpstr>
      <vt:lpstr>lu_Assets</vt:lpstr>
      <vt:lpstr>lu_DeliveryModels</vt:lpstr>
      <vt:lpstr>lu_Departments</vt:lpstr>
      <vt:lpstr>lu_Disciplines</vt:lpstr>
      <vt:lpstr>lu_HealthStatus</vt:lpstr>
      <vt:lpstr>lu_ProjectType</vt:lpstr>
      <vt:lpstr>lu_RegisterStatus</vt:lpstr>
      <vt:lpstr>lu_RiskCategory</vt:lpstr>
      <vt:lpstr>lu_StageGates</vt:lpstr>
      <vt:lpstr>lu_WorkflowStatus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Oriarewo</dc:creator>
  <cp:lastModifiedBy>Irene Oriarewo</cp:lastModifiedBy>
  <dcterms:created xsi:type="dcterms:W3CDTF">2026-09-03T16:40:07Z</dcterms:created>
  <dcterms:modified xsi:type="dcterms:W3CDTF">2026-09-22T20:24:22Z</dcterms:modified>
</cp:coreProperties>
</file>